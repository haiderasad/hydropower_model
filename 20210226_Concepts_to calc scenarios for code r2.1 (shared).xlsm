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https://australianhydro.sharepoint.com/sites/ModelsandData/Shared Documents/Models/2023 - Hydro workbench/"/>
    </mc:Choice>
  </mc:AlternateContent>
  <xr:revisionPtr revIDLastSave="246" documentId="13_ncr:20001_{F5188DBD-FBDD-42AA-879D-55A7BA499D3D}" xr6:coauthVersionLast="47" xr6:coauthVersionMax="47" xr10:uidLastSave="{024BFDB0-FA2B-4E14-ACD4-286530AF06B6}"/>
  <bookViews>
    <workbookView xWindow="-110" yWindow="-110" windowWidth="38620" windowHeight="21100" tabRatio="768" firstSheet="1" activeTab="1" xr2:uid="{32A2F940-F09D-45B8-87B7-723CEEFEC8EF}"/>
  </bookViews>
  <sheets>
    <sheet name="MAIN Options (revised)" sheetId="52" state="hidden" r:id="rId1"/>
    <sheet name="Main Opt Rev 2" sheetId="53" r:id="rId2"/>
    <sheet name="Sheet1" sheetId="56" r:id="rId3"/>
    <sheet name="Logic" sheetId="55" r:id="rId4"/>
    <sheet name="ss MAIN" sheetId="49" state="hidden" r:id="rId5"/>
    <sheet name="MAIN Options" sheetId="5" state="hidden" r:id="rId6"/>
    <sheet name="Res Vol" sheetId="50" r:id="rId7"/>
    <sheet name="Dam VOl" sheetId="51" r:id="rId8"/>
  </sheets>
  <functionGroups builtInGroupCount="19"/>
  <definedNames>
    <definedName name="_xlnm._FilterDatabase" localSheetId="3" hidden="1">Logic!$D$23:$K$32</definedName>
    <definedName name="_xlnm._FilterDatabase" localSheetId="5" hidden="1">'MAIN Options'!$A$7:$D$189</definedName>
    <definedName name="_xlnm._FilterDatabase" localSheetId="0" hidden="1">'MAIN Options (revised)'!$A$8:$B$222</definedName>
    <definedName name="_xlnm._FilterDatabase" localSheetId="6" hidden="1">'Res Vol'!$D$4:$G$32</definedName>
    <definedName name="Dia" localSheetId="0">'MAIN Options (revised)'!$A$120</definedName>
    <definedName name="Dia">'MAIN Options'!$A$87</definedName>
    <definedName name="e_P">'Main Opt Rev 2'!$H$2</definedName>
    <definedName name="e_T">'Main Opt Rev 2'!$G$2</definedName>
    <definedName name="Flow_gen" localSheetId="0">'MAIN Options (revised)'!$A$66</definedName>
    <definedName name="Flow_gen">'MAIN Options'!$A$31</definedName>
    <definedName name="g">'Main Opt Rev 2'!$C$6</definedName>
    <definedName name="head_calc">'Main Opt Rev 2'!$H$51</definedName>
    <definedName name="head_guess">'Main Opt Rev 2'!$G$51</definedName>
    <definedName name="head_res">'Main Opt Rev 2'!$R$3:$U$11</definedName>
    <definedName name="Head_table">'Main Opt Rev 2'!$R$17:$U$25</definedName>
    <definedName name="headloss" localSheetId="0">'MAIN Options (revised)'!$C$135:$C$135</definedName>
    <definedName name="headloss">'MAIN Options'!$E$102:$E$102</definedName>
    <definedName name="HGavg" localSheetId="0">'MAIN Options (revised)'!$A$35</definedName>
    <definedName name="HGavg">'MAIN Options'!$A$35</definedName>
    <definedName name="HGmax" localSheetId="0">'MAIN Options (revised)'!$A$33</definedName>
    <definedName name="HGmax">'MAIN Options'!$A$33</definedName>
    <definedName name="HGmin" localSheetId="0">'MAIN Options (revised)'!$A$34</definedName>
    <definedName name="HGmin">'MAIN Options'!$A$34</definedName>
    <definedName name="Hmax" localSheetId="0">'MAIN Options (revised)'!$A$331</definedName>
    <definedName name="Hmax">'MAIN Options'!$A$298</definedName>
    <definedName name="Hp_max" localSheetId="0">'MAIN Options (revised)'!$A$85</definedName>
    <definedName name="Hp_max">'MAIN Options'!$A$51</definedName>
    <definedName name="Hp_min" localSheetId="0">'MAIN Options (revised)'!$A$86</definedName>
    <definedName name="Hp_min">'MAIN Options'!$A$52</definedName>
    <definedName name="Hp_rated" localSheetId="0">'MAIN Options (revised)'!$A$87</definedName>
    <definedName name="Hp_rated">'MAIN Options'!$A$53</definedName>
    <definedName name="hrs">'Main Opt Rev 2'!$C$5</definedName>
    <definedName name="Ht_max" localSheetId="0">'MAIN Options (revised)'!$A$82</definedName>
    <definedName name="Ht_max">'MAIN Options'!$A$48</definedName>
    <definedName name="Ht_min" localSheetId="0">'MAIN Options (revised)'!$A$83</definedName>
    <definedName name="Ht_min">'MAIN Options'!$A$49</definedName>
    <definedName name="Ht_rated" localSheetId="0">'MAIN Options (revised)'!$A$84</definedName>
    <definedName name="Ht_rated">'MAIN Options'!$A$50</definedName>
    <definedName name="i_fixed_speed">'Main Opt Rev 2'!$C$18</definedName>
    <definedName name="i_flag" localSheetId="0">'MAIN Options (revised)'!#REF!</definedName>
    <definedName name="i_inputs">'Main Opt Rev 2'!$C$16:$C$25</definedName>
    <definedName name="i_l_excav">'Main Opt Rev 2'!$I$9</definedName>
    <definedName name="i_l_fsl">'Main Opt Rev 2'!$I$7</definedName>
    <definedName name="i_l_mol">'Main Opt Rev 2'!$I$8</definedName>
    <definedName name="i_message">'Main Opt Rev 2'!$V$41</definedName>
    <definedName name="i_pasteflow" localSheetId="0">'MAIN Options (revised)'!$C$66:$C$66</definedName>
    <definedName name="i_pasteflow">'MAIN Options'!$E$31:$E$31</definedName>
    <definedName name="i_res_gov">'Main Opt Rev 2'!$C$20</definedName>
    <definedName name="i_solve_power">'Main Opt Rev 2'!$C$19</definedName>
    <definedName name="i_u_excav">'Main Opt Rev 2'!$H$9</definedName>
    <definedName name="i_u_fsl">'Main Opt Rev 2'!$H$7</definedName>
    <definedName name="i_u_mol">'Main Opt Rev 2'!$H$8</definedName>
    <definedName name="i_use_excav">'Main Opt Rev 2'!$C$17</definedName>
    <definedName name="i_WL">'Main Opt Rev 2'!$H$7:$I$9</definedName>
    <definedName name="i_WL_VOL_result">'Main Opt Rev 2'!$G$19:$H$25</definedName>
    <definedName name="iflowcalc" localSheetId="0">'MAIN Options (revised)'!#REF!</definedName>
    <definedName name="ipastehl" localSheetId="0">'MAIN Options (revised)'!$C$76:$C$76</definedName>
    <definedName name="iPower" localSheetId="0">'MAIN Options (revised)'!#REF!</definedName>
    <definedName name="iRes" localSheetId="0">'MAIN Options (revised)'!#REF!</definedName>
    <definedName name="l_fsl_fix">'Main Opt Rev 2'!$C$23</definedName>
    <definedName name="l_mol_fix">'Main Opt Rev 2'!$C$24</definedName>
    <definedName name="LFSL" localSheetId="0">'MAIN Options (revised)'!$A$21</definedName>
    <definedName name="LFSL">'MAIN Options'!$A$20</definedName>
    <definedName name="live_vol_trial">'Main Opt Rev 2'!$K$63</definedName>
    <definedName name="LMOL" localSheetId="0">'MAIN Options (revised)'!$A$22</definedName>
    <definedName name="LMOL">'MAIN Options'!$A$21</definedName>
    <definedName name="LRvol">'Res Vol'!$S$5:$S$16</definedName>
    <definedName name="LRy">'Res Vol'!$N$5:$N$16</definedName>
    <definedName name="Poweer" localSheetId="0">'MAIN Options (revised)'!$A$52</definedName>
    <definedName name="Poweer">'MAIN Options'!$A$25</definedName>
    <definedName name="Power" localSheetId="0">'MAIN Options (revised)'!$A$52</definedName>
    <definedName name="Power">'MAIN Options'!$A$25</definedName>
    <definedName name="power_table">'Main Opt Rev 2'!$M$18:$M$25</definedName>
    <definedName name="red_vol">'Main Opt Rev 2'!$H$53</definedName>
    <definedName name="Scen" localSheetId="0">'MAIN Options (revised)'!$D$2:$Q$2</definedName>
    <definedName name="Scen">'MAIN Options'!$F$2:$K$2</definedName>
    <definedName name="solver_adj" localSheetId="5" hidden="1">'MAIN Options'!#REF!</definedName>
    <definedName name="solver_adj" localSheetId="0" hidden="1">'MAIN Options (revised)'!#REF!</definedName>
    <definedName name="solver_cvg" localSheetId="5" hidden="1">0.0001</definedName>
    <definedName name="solver_cvg" localSheetId="0" hidden="1">0.0001</definedName>
    <definedName name="solver_drv" localSheetId="5" hidden="1">1</definedName>
    <definedName name="solver_drv" localSheetId="0" hidden="1">1</definedName>
    <definedName name="solver_eng" localSheetId="5" hidden="1">1</definedName>
    <definedName name="solver_eng" localSheetId="0" hidden="1">1</definedName>
    <definedName name="solver_est" localSheetId="5" hidden="1">1</definedName>
    <definedName name="solver_est" localSheetId="0" hidden="1">1</definedName>
    <definedName name="solver_itr" localSheetId="5" hidden="1">2147483647</definedName>
    <definedName name="solver_itr" localSheetId="0" hidden="1">2147483647</definedName>
    <definedName name="solver_mip" localSheetId="5" hidden="1">2147483647</definedName>
    <definedName name="solver_mip" localSheetId="0" hidden="1">2147483647</definedName>
    <definedName name="solver_mni" localSheetId="5" hidden="1">30</definedName>
    <definedName name="solver_mni" localSheetId="0" hidden="1">30</definedName>
    <definedName name="solver_mrt" localSheetId="5" hidden="1">0.075</definedName>
    <definedName name="solver_mrt" localSheetId="0" hidden="1">0.075</definedName>
    <definedName name="solver_msl" localSheetId="5" hidden="1">2</definedName>
    <definedName name="solver_msl" localSheetId="0" hidden="1">2</definedName>
    <definedName name="solver_neg" localSheetId="5" hidden="1">1</definedName>
    <definedName name="solver_neg" localSheetId="0" hidden="1">1</definedName>
    <definedName name="solver_nod" localSheetId="5" hidden="1">2147483647</definedName>
    <definedName name="solver_nod" localSheetId="0" hidden="1">2147483647</definedName>
    <definedName name="solver_num" localSheetId="5" hidden="1">0</definedName>
    <definedName name="solver_num" localSheetId="0" hidden="1">0</definedName>
    <definedName name="solver_nwt" localSheetId="5" hidden="1">1</definedName>
    <definedName name="solver_nwt" localSheetId="0" hidden="1">1</definedName>
    <definedName name="solver_opt" localSheetId="5" hidden="1">'MAIN Options'!#REF!</definedName>
    <definedName name="solver_opt" localSheetId="0" hidden="1">'MAIN Options (revised)'!#REF!</definedName>
    <definedName name="solver_pre" localSheetId="5" hidden="1">0.000001</definedName>
    <definedName name="solver_pre" localSheetId="0" hidden="1">0.000001</definedName>
    <definedName name="solver_rbv" localSheetId="5" hidden="1">1</definedName>
    <definedName name="solver_rbv" localSheetId="0" hidden="1">1</definedName>
    <definedName name="solver_rlx" localSheetId="5" hidden="1">2</definedName>
    <definedName name="solver_rlx" localSheetId="0" hidden="1">2</definedName>
    <definedName name="solver_rsd" localSheetId="5" hidden="1">0</definedName>
    <definedName name="solver_rsd" localSheetId="0" hidden="1">0</definedName>
    <definedName name="solver_scl" localSheetId="5" hidden="1">1</definedName>
    <definedName name="solver_scl" localSheetId="0" hidden="1">1</definedName>
    <definedName name="solver_sho" localSheetId="5" hidden="1">2</definedName>
    <definedName name="solver_sho" localSheetId="0" hidden="1">2</definedName>
    <definedName name="solver_ssz" localSheetId="5" hidden="1">100</definedName>
    <definedName name="solver_ssz" localSheetId="0" hidden="1">100</definedName>
    <definedName name="solver_tim" localSheetId="5" hidden="1">2147483647</definedName>
    <definedName name="solver_tim" localSheetId="0" hidden="1">2147483647</definedName>
    <definedName name="solver_tol" localSheetId="5" hidden="1">0.01</definedName>
    <definedName name="solver_tol" localSheetId="0" hidden="1">0.01</definedName>
    <definedName name="solver_typ" localSheetId="5" hidden="1">3</definedName>
    <definedName name="solver_typ" localSheetId="0" hidden="1">3</definedName>
    <definedName name="solver_val" localSheetId="5" hidden="1">600</definedName>
    <definedName name="solver_val" localSheetId="0" hidden="1">600</definedName>
    <definedName name="solver_ver" localSheetId="5" hidden="1">3</definedName>
    <definedName name="solver_ver" localSheetId="0" hidden="1">3</definedName>
    <definedName name="Surge_x" localSheetId="0">'MAIN Options (revised)'!$A$322</definedName>
    <definedName name="Surge_x">'MAIN Options'!$A$289</definedName>
    <definedName name="Thoma_A" localSheetId="0">'MAIN Options (revised)'!$A$329</definedName>
    <definedName name="Thoma_A">'MAIN Options'!$A$296</definedName>
    <definedName name="Tm_hadley" localSheetId="0">'MAIN Options (revised)'!$A$307</definedName>
    <definedName name="Tm_hadley">'MAIN Options'!$A$274</definedName>
    <definedName name="u_fsl_fix">'Main Opt Rev 2'!$C$21</definedName>
    <definedName name="u_mol_fix">'Main Opt Rev 2'!$C$22</definedName>
    <definedName name="UDAMVOL">'Dam VOl'!$I$3:$I$11</definedName>
    <definedName name="UDAMy">'Dam VOl'!$F$3:$F$11</definedName>
    <definedName name="UFSL" localSheetId="0">'MAIN Options (revised)'!$A$12</definedName>
    <definedName name="UFSL">'MAIN Options'!$A$15</definedName>
    <definedName name="UMOL" localSheetId="0">'MAIN Options (revised)'!$A$13</definedName>
    <definedName name="UMOL">'MAIN Options'!$A$16</definedName>
    <definedName name="URVOL">'Res Vol'!$J$5:$J$32</definedName>
    <definedName name="URy">'Res Vol'!$E$5:$E$32</definedName>
    <definedName name="V_HPtunnel" localSheetId="0">'MAIN Options (revised)'!$A$117</definedName>
    <definedName name="V_HPtunnel">'MAIN Options'!$A$84</definedName>
    <definedName name="V_hr" localSheetId="0">'MAIN Options (revised)'!$A$116</definedName>
    <definedName name="V_hr">'MAIN Options'!$A$83</definedName>
    <definedName name="V_penstock" localSheetId="0">'MAIN Options (revised)'!$A$118</definedName>
    <definedName name="V_penstock">'MAIN Options'!$A$85</definedName>
    <definedName name="V_Steel" localSheetId="0">'MAIN Options (revised)'!$A$119</definedName>
    <definedName name="V_Steel">'MAIN Options'!$A$86</definedName>
    <definedName name="vol_paste">'Main Opt Rev 2'!$G$54</definedName>
    <definedName name="volume_table">'Main Opt Rev 2'!$V$31:$Y$38</definedName>
    <definedName name="watch_cell">'Main Opt Rev 2'!$S$57</definedName>
    <definedName name="wl_copy">'Main Opt Rev 2'!$G$19:$H$21</definedName>
  </definedNames>
  <calcPr calcId="191028"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53" l="1"/>
  <c r="B36" i="53"/>
  <c r="C36" i="53"/>
  <c r="B41" i="53"/>
  <c r="R26" i="53"/>
  <c r="I3" i="51" l="1"/>
  <c r="P16" i="56"/>
  <c r="S19" i="56"/>
  <c r="R18" i="56"/>
  <c r="T18" i="56" s="1"/>
  <c r="P8" i="56"/>
  <c r="Q17" i="56"/>
  <c r="T17" i="56" s="1"/>
  <c r="T16" i="56"/>
  <c r="T19" i="56"/>
  <c r="P17" i="56"/>
  <c r="R17" i="56"/>
  <c r="S17" i="56"/>
  <c r="P18" i="56"/>
  <c r="Q18" i="56"/>
  <c r="S18" i="56"/>
  <c r="P19" i="56"/>
  <c r="Q19" i="56"/>
  <c r="R19" i="56"/>
  <c r="S16" i="56"/>
  <c r="R16" i="56"/>
  <c r="Q16" i="56"/>
  <c r="P9" i="56"/>
  <c r="O9" i="56"/>
  <c r="O12" i="56" s="1"/>
  <c r="O8" i="56"/>
  <c r="M12" i="56"/>
  <c r="M11" i="56"/>
  <c r="M13" i="56" s="1"/>
  <c r="L9" i="55"/>
  <c r="L10" i="55"/>
  <c r="L11" i="55"/>
  <c r="L12" i="55"/>
  <c r="L13" i="55"/>
  <c r="L14" i="55"/>
  <c r="L15" i="55"/>
  <c r="L16" i="55"/>
  <c r="L17" i="55"/>
  <c r="L18" i="55"/>
  <c r="L19" i="55"/>
  <c r="L8" i="55"/>
  <c r="C51" i="53"/>
  <c r="C52" i="53"/>
  <c r="N19" i="50" a="1"/>
  <c r="H10" i="53" a="1"/>
  <c r="I11" i="53" a="1"/>
  <c r="I10" i="53" a="1"/>
  <c r="H11" i="53" a="1"/>
  <c r="N19" i="50" l="1"/>
  <c r="I10" i="53"/>
  <c r="I11" i="53"/>
  <c r="H11" i="53"/>
  <c r="H10" i="53"/>
  <c r="O11" i="56"/>
  <c r="O13" i="56" s="1"/>
  <c r="G35" i="55"/>
  <c r="G28" i="55"/>
  <c r="G32" i="55"/>
  <c r="G25" i="55"/>
  <c r="G29" i="55"/>
  <c r="G33" i="55"/>
  <c r="G26" i="55"/>
  <c r="G30" i="55"/>
  <c r="G34" i="55"/>
  <c r="G27" i="55"/>
  <c r="G31" i="55"/>
  <c r="G24" i="55"/>
  <c r="C50" i="53"/>
  <c r="C49" i="53"/>
  <c r="B42" i="53"/>
  <c r="C53" i="53" l="1"/>
  <c r="C54" i="53" s="1"/>
  <c r="D49" i="53" l="1"/>
  <c r="B43" i="53"/>
  <c r="B40" i="53" s="1"/>
  <c r="E40" i="53" s="1"/>
  <c r="H3" i="53"/>
  <c r="R27" i="53" l="1"/>
  <c r="U27" i="53"/>
  <c r="S27" i="53"/>
  <c r="T27" i="53"/>
  <c r="S26" i="53"/>
  <c r="T26" i="53"/>
  <c r="U26" i="53"/>
  <c r="L20" i="53"/>
  <c r="H46" i="53" l="1"/>
  <c r="I12" i="53" l="1"/>
  <c r="I13" i="53" s="1"/>
  <c r="G40" i="53" l="1"/>
  <c r="J34" i="52"/>
  <c r="I34" i="52"/>
  <c r="J33" i="52"/>
  <c r="I33" i="52"/>
  <c r="J29" i="52"/>
  <c r="I29" i="52"/>
  <c r="J20" i="52"/>
  <c r="I20" i="52"/>
  <c r="J11" i="52"/>
  <c r="I11" i="52"/>
  <c r="H34" i="52"/>
  <c r="G29" i="52"/>
  <c r="H29" i="52"/>
  <c r="L29" i="52"/>
  <c r="M29" i="52"/>
  <c r="N29" i="52"/>
  <c r="O29" i="52"/>
  <c r="P29" i="52"/>
  <c r="B38" i="52"/>
  <c r="P33" i="52"/>
  <c r="N33" i="52"/>
  <c r="D20" i="52"/>
  <c r="E20" i="52"/>
  <c r="F20" i="52"/>
  <c r="G20" i="52"/>
  <c r="H20" i="52"/>
  <c r="C20" i="52"/>
  <c r="D11" i="52"/>
  <c r="E11" i="52"/>
  <c r="F11" i="52"/>
  <c r="G11" i="52"/>
  <c r="H11" i="52"/>
  <c r="C11" i="52"/>
  <c r="I23" i="52" a="1"/>
  <c r="H23" i="52" a="1"/>
  <c r="N24" i="52" a="1"/>
  <c r="G24" i="52" a="1"/>
  <c r="J23" i="52" a="1"/>
  <c r="J24" i="52" a="1"/>
  <c r="I24" i="52" a="1"/>
  <c r="M23" i="52" a="1"/>
  <c r="H24" i="52" a="1"/>
  <c r="G23" i="52" a="1"/>
  <c r="P24" i="52" a="1"/>
  <c r="O23" i="52" a="1"/>
  <c r="I23" i="52" l="1"/>
  <c r="I24" i="52"/>
  <c r="J24" i="52"/>
  <c r="J23" i="52"/>
  <c r="I35" i="52"/>
  <c r="I36" i="52" s="1"/>
  <c r="J35" i="52"/>
  <c r="J36" i="52" s="1"/>
  <c r="M23" i="52"/>
  <c r="O23" i="52"/>
  <c r="P24" i="52"/>
  <c r="N24" i="52"/>
  <c r="H24" i="52"/>
  <c r="G24" i="52"/>
  <c r="H23" i="52"/>
  <c r="G23" i="52"/>
  <c r="F23" i="52" a="1"/>
  <c r="D24" i="52" a="1"/>
  <c r="E23" i="52" a="1"/>
  <c r="E24" i="52" a="1"/>
  <c r="C23" i="52" a="1"/>
  <c r="F24" i="52" a="1"/>
  <c r="J25" i="52" l="1"/>
  <c r="J38" i="52"/>
  <c r="J37" i="52"/>
  <c r="I37" i="52"/>
  <c r="I38" i="52"/>
  <c r="I25" i="52"/>
  <c r="G25" i="52"/>
  <c r="H25" i="52"/>
  <c r="F24" i="52"/>
  <c r="E24" i="52"/>
  <c r="E23" i="52"/>
  <c r="F23" i="52"/>
  <c r="D24" i="52"/>
  <c r="C23" i="52"/>
  <c r="AA67" i="5"/>
  <c r="Z67" i="5"/>
  <c r="Y67" i="5"/>
  <c r="X67" i="5"/>
  <c r="AA59" i="5"/>
  <c r="Z59" i="5"/>
  <c r="Y59" i="5"/>
  <c r="X59" i="5"/>
  <c r="AA47" i="5"/>
  <c r="Z47" i="5"/>
  <c r="Y47" i="5"/>
  <c r="X47" i="5"/>
  <c r="Y38" i="5"/>
  <c r="T63" i="5"/>
  <c r="S63" i="5"/>
  <c r="R63" i="5"/>
  <c r="Q63" i="5"/>
  <c r="T57" i="5"/>
  <c r="S57" i="5"/>
  <c r="T55" i="5"/>
  <c r="S55" i="5"/>
  <c r="R55" i="5"/>
  <c r="Q55" i="5"/>
  <c r="R53" i="5"/>
  <c r="T43" i="5"/>
  <c r="S43" i="5"/>
  <c r="R43" i="5"/>
  <c r="R50" i="5" s="1"/>
  <c r="R54" i="5" s="1"/>
  <c r="Q43" i="5"/>
  <c r="R14" i="5"/>
  <c r="R22" i="5" a="1"/>
  <c r="AA24" i="5" a="1"/>
  <c r="O22" i="5" a="1"/>
  <c r="Y24" i="5" a="1"/>
  <c r="X24" i="5" a="1"/>
  <c r="Q22" i="5" a="1"/>
  <c r="Z24" i="5" a="1"/>
  <c r="E25" i="52" l="1"/>
  <c r="E29" i="52" s="1"/>
  <c r="E17" i="52" s="1"/>
  <c r="F25" i="52"/>
  <c r="F29" i="52" s="1"/>
  <c r="Y24" i="5"/>
  <c r="X24" i="5"/>
  <c r="Z24" i="5"/>
  <c r="AA24" i="5"/>
  <c r="R22" i="5"/>
  <c r="R23" i="5" s="1"/>
  <c r="Q22" i="5"/>
  <c r="O22" i="5"/>
  <c r="O71" i="5"/>
  <c r="P71" i="5"/>
  <c r="O63" i="5"/>
  <c r="P63" i="5"/>
  <c r="O55" i="5"/>
  <c r="P55" i="5"/>
  <c r="O43" i="5"/>
  <c r="P43" i="5"/>
  <c r="O14" i="5"/>
  <c r="L43" i="5"/>
  <c r="N43" i="5"/>
  <c r="M43" i="5"/>
  <c r="L55" i="5"/>
  <c r="N55" i="5"/>
  <c r="M55" i="5"/>
  <c r="L57" i="5"/>
  <c r="L63" i="5"/>
  <c r="N63" i="5"/>
  <c r="M63" i="5"/>
  <c r="L71" i="5"/>
  <c r="L73" i="5" s="1"/>
  <c r="N71" i="5"/>
  <c r="N73" i="5" s="1"/>
  <c r="M71" i="5"/>
  <c r="K23" i="5" a="1"/>
  <c r="J21" i="5" a="1"/>
  <c r="L23" i="5" a="1"/>
  <c r="M25" i="52" l="1"/>
  <c r="M24" i="52"/>
  <c r="P25" i="52"/>
  <c r="P23" i="52"/>
  <c r="O25" i="52"/>
  <c r="O24" i="52"/>
  <c r="N25" i="52"/>
  <c r="N23" i="52"/>
  <c r="E18" i="52"/>
  <c r="F17" i="52"/>
  <c r="Q23" i="5"/>
  <c r="P19" i="5"/>
  <c r="P73" i="5"/>
  <c r="O73" i="5"/>
  <c r="M73" i="5"/>
  <c r="L23" i="5"/>
  <c r="K23" i="5"/>
  <c r="J21" i="5"/>
  <c r="I23" i="5" a="1"/>
  <c r="N21" i="52" a="1"/>
  <c r="M22" i="52" a="1"/>
  <c r="Q21" i="5" a="1"/>
  <c r="O22" i="52" a="1"/>
  <c r="P21" i="52" a="1"/>
  <c r="M22" i="52" l="1"/>
  <c r="M33" i="52" s="1"/>
  <c r="M35" i="52" s="1"/>
  <c r="M36" i="52" s="1"/>
  <c r="O22" i="52"/>
  <c r="O33" i="52" s="1"/>
  <c r="P21" i="52"/>
  <c r="N21" i="52"/>
  <c r="F18" i="52"/>
  <c r="Q21" i="5"/>
  <c r="Q24" i="5"/>
  <c r="I23" i="5"/>
  <c r="J43" i="5"/>
  <c r="I43" i="5"/>
  <c r="K43" i="5"/>
  <c r="J55" i="5"/>
  <c r="I55" i="5"/>
  <c r="K55" i="5"/>
  <c r="J63" i="5"/>
  <c r="I63" i="5"/>
  <c r="K63" i="5"/>
  <c r="J71" i="5"/>
  <c r="J73" i="5" s="1"/>
  <c r="I71" i="5"/>
  <c r="I73" i="5" s="1"/>
  <c r="K71" i="5"/>
  <c r="I22" i="5" a="1"/>
  <c r="J22" i="5" a="1"/>
  <c r="K22" i="5" a="1"/>
  <c r="M38" i="52" l="1"/>
  <c r="M37" i="52"/>
  <c r="O35" i="52"/>
  <c r="O36" i="52" s="1"/>
  <c r="Q33" i="5"/>
  <c r="Q58" i="5" s="1"/>
  <c r="Q57" i="5"/>
  <c r="T64" i="5"/>
  <c r="M57" i="5"/>
  <c r="K22" i="5"/>
  <c r="I34" i="5"/>
  <c r="I22" i="5"/>
  <c r="I24" i="5" s="1"/>
  <c r="J22" i="5"/>
  <c r="K73" i="5"/>
  <c r="O37" i="52" l="1"/>
  <c r="O38" i="52"/>
  <c r="T72" i="5"/>
  <c r="I33" i="5"/>
  <c r="I35" i="5" s="1"/>
  <c r="I32" i="5" s="1"/>
  <c r="I30" i="5"/>
  <c r="H63" i="5"/>
  <c r="G63" i="5"/>
  <c r="H55" i="5"/>
  <c r="G55" i="5"/>
  <c r="H43" i="5"/>
  <c r="G43" i="5"/>
  <c r="H31" i="5"/>
  <c r="G31" i="5"/>
  <c r="N19" i="5"/>
  <c r="F34" i="5"/>
  <c r="F31" i="5"/>
  <c r="G22" i="5" a="1"/>
  <c r="F22" i="5" a="1"/>
  <c r="E22" i="5" a="1"/>
  <c r="H22" i="5" a="1"/>
  <c r="S64" i="5" l="1"/>
  <c r="T74" i="5"/>
  <c r="I36" i="5"/>
  <c r="I31" i="5"/>
  <c r="I27" i="5" s="1"/>
  <c r="G45" i="5"/>
  <c r="H45" i="5"/>
  <c r="H22" i="5"/>
  <c r="H23" i="5" s="1"/>
  <c r="G22" i="5"/>
  <c r="G23" i="5" s="1"/>
  <c r="F22" i="5"/>
  <c r="F23" i="5" s="1"/>
  <c r="H17" i="5"/>
  <c r="E22" i="5"/>
  <c r="H21" i="5" a="1"/>
  <c r="G21" i="5" a="1"/>
  <c r="F21" i="5" a="1"/>
  <c r="G21" i="5" l="1"/>
  <c r="G57" i="5" s="1"/>
  <c r="H21" i="5"/>
  <c r="H57" i="5" s="1"/>
  <c r="F21" i="5"/>
  <c r="S72" i="5"/>
  <c r="Q29" i="5"/>
  <c r="I29" i="5"/>
  <c r="H24" i="5"/>
  <c r="H29" i="5" s="1"/>
  <c r="F24" i="5"/>
  <c r="F29" i="5" s="1"/>
  <c r="H19" i="5"/>
  <c r="H28" i="5" s="1"/>
  <c r="G24" i="5"/>
  <c r="G29" i="5" s="1"/>
  <c r="G18" i="5"/>
  <c r="G19" i="5" s="1"/>
  <c r="G28" i="5" s="1"/>
  <c r="E23" i="5"/>
  <c r="E21" i="5" a="1"/>
  <c r="E21" i="5" l="1"/>
  <c r="E24" i="5"/>
  <c r="E29" i="5" s="1"/>
  <c r="S74" i="5"/>
  <c r="I22" i="51"/>
  <c r="M14" i="5" l="1"/>
  <c r="F63" i="5" l="1"/>
  <c r="F55" i="5"/>
  <c r="E63" i="5" l="1"/>
  <c r="I18" i="51" l="1"/>
  <c r="I4" i="51"/>
  <c r="I5" i="51"/>
  <c r="I6" i="51"/>
  <c r="I7" i="51"/>
  <c r="I8" i="51"/>
  <c r="I9" i="51"/>
  <c r="I10" i="51"/>
  <c r="L8" i="49"/>
  <c r="L12" i="49" s="1"/>
  <c r="L14" i="49" s="1"/>
  <c r="L15" i="49" s="1"/>
  <c r="M8" i="49"/>
  <c r="M12" i="49" s="1"/>
  <c r="N8" i="49"/>
  <c r="N12" i="49" s="1"/>
  <c r="O8" i="49"/>
  <c r="O12" i="49" s="1"/>
  <c r="P8" i="49"/>
  <c r="Q8" i="49"/>
  <c r="Q9" i="49" s="1"/>
  <c r="Q13" i="49" s="1"/>
  <c r="Q14" i="49" s="1"/>
  <c r="Q15" i="49" s="1"/>
  <c r="R8" i="49"/>
  <c r="L9" i="49"/>
  <c r="L13" i="49" s="1"/>
  <c r="P9" i="49"/>
  <c r="P13" i="49" s="1"/>
  <c r="P14" i="49" s="1"/>
  <c r="P15" i="49" s="1"/>
  <c r="R9" i="49"/>
  <c r="R13" i="49" s="1"/>
  <c r="R14" i="49" s="1"/>
  <c r="R15" i="49" s="1"/>
  <c r="P12" i="49"/>
  <c r="Q12" i="49"/>
  <c r="R12" i="49"/>
  <c r="F13" i="49"/>
  <c r="F14" i="49"/>
  <c r="F15" i="49"/>
  <c r="F16" i="49"/>
  <c r="L16" i="49" a="1"/>
  <c r="E31" i="5" l="1"/>
  <c r="E33" i="5"/>
  <c r="O9" i="49"/>
  <c r="O13" i="49" s="1"/>
  <c r="O14" i="49" s="1"/>
  <c r="O15" i="49" s="1"/>
  <c r="N9" i="49"/>
  <c r="N13" i="49" s="1"/>
  <c r="N14" i="49" s="1"/>
  <c r="N15" i="49" s="1"/>
  <c r="M9" i="49"/>
  <c r="M13" i="49" s="1"/>
  <c r="M14" i="49" s="1"/>
  <c r="M15" i="49" s="1"/>
  <c r="L16" i="49"/>
  <c r="M16" i="49" a="1"/>
  <c r="M16" i="49" l="1"/>
  <c r="N16" i="49" a="1"/>
  <c r="N16" i="49" l="1"/>
  <c r="O16" i="49" a="1"/>
  <c r="O16" i="49" l="1"/>
  <c r="P16" i="49" a="1"/>
  <c r="P16" i="49" l="1"/>
  <c r="Q16" i="49" a="1"/>
  <c r="Q16" i="49" l="1"/>
  <c r="R16" i="49" a="1"/>
  <c r="R16" i="49" l="1"/>
  <c r="L17" i="49" a="1"/>
  <c r="L17" i="49" l="1"/>
  <c r="M17" i="49" a="1"/>
  <c r="M17" i="49" l="1"/>
  <c r="N17" i="49" a="1"/>
  <c r="N17" i="49" l="1"/>
  <c r="O17" i="49" a="1"/>
  <c r="O17" i="49" l="1"/>
  <c r="P17" i="49" a="1"/>
  <c r="P17" i="49" l="1"/>
  <c r="Q17" i="49" a="1"/>
  <c r="Q17" i="49" l="1"/>
  <c r="R17" i="49" a="1"/>
  <c r="R17" i="49" l="1"/>
  <c r="R18" i="49" s="1"/>
  <c r="R19" i="49" s="1"/>
  <c r="R21" i="49" s="1"/>
  <c r="R6" i="49" s="1"/>
  <c r="L18" i="49"/>
  <c r="L19" i="49" s="1"/>
  <c r="L21" i="49" s="1"/>
  <c r="L6" i="49" s="1"/>
  <c r="M18" i="49"/>
  <c r="M19" i="49" s="1"/>
  <c r="M21" i="49" s="1"/>
  <c r="M6" i="49" s="1"/>
  <c r="N18" i="49"/>
  <c r="N19" i="49" s="1"/>
  <c r="N21" i="49" s="1"/>
  <c r="N6" i="49" s="1"/>
  <c r="O18" i="49"/>
  <c r="O19" i="49" s="1"/>
  <c r="O21" i="49" s="1"/>
  <c r="O6" i="49" s="1"/>
  <c r="P18" i="49"/>
  <c r="P19" i="49" s="1"/>
  <c r="P21" i="49" s="1"/>
  <c r="P6" i="49" s="1"/>
  <c r="Q18" i="49"/>
  <c r="Q19" i="49" s="1"/>
  <c r="Q21" i="49" s="1"/>
  <c r="Q6" i="49" s="1"/>
  <c r="F19" i="49"/>
  <c r="L20" i="49"/>
  <c r="M20" i="49"/>
  <c r="N20" i="49"/>
  <c r="O20" i="49"/>
  <c r="P20" i="49"/>
  <c r="Q20" i="49"/>
  <c r="R20" i="49"/>
  <c r="F21" i="49"/>
  <c r="F23" i="49"/>
  <c r="L23" i="49"/>
  <c r="M23" i="49"/>
  <c r="N23" i="49"/>
  <c r="O23" i="49"/>
  <c r="P23" i="49"/>
  <c r="Q23" i="49"/>
  <c r="R23" i="49"/>
  <c r="F25" i="49"/>
  <c r="F26" i="49" s="1"/>
  <c r="L26" i="49" a="1"/>
  <c r="Y6" i="50" l="1"/>
  <c r="X11" i="50" s="1"/>
  <c r="Y7" i="50"/>
  <c r="L26" i="49"/>
  <c r="M26" i="49" a="1"/>
  <c r="X12" i="50" l="1"/>
  <c r="X13" i="50" s="1"/>
  <c r="X14" i="50" s="1"/>
  <c r="X15" i="50" s="1"/>
  <c r="X16" i="50" s="1"/>
  <c r="X17" i="50" s="1"/>
  <c r="X18" i="50" s="1"/>
  <c r="X19" i="50" s="1"/>
  <c r="X20" i="50" s="1"/>
  <c r="X21" i="50" s="1"/>
  <c r="X22" i="50" s="1"/>
  <c r="X23" i="50" s="1"/>
  <c r="X24" i="50" s="1"/>
  <c r="X25" i="50" s="1"/>
  <c r="X26" i="50" s="1"/>
  <c r="X27" i="50" s="1"/>
  <c r="X28" i="50" s="1"/>
  <c r="X29" i="50" s="1"/>
  <c r="X30" i="50" s="1"/>
  <c r="X31" i="50" s="1"/>
  <c r="X32" i="50" s="1"/>
  <c r="X33" i="50" s="1"/>
  <c r="X34" i="50" s="1"/>
  <c r="X35" i="50" s="1"/>
  <c r="X36" i="50" s="1"/>
  <c r="M26" i="49"/>
  <c r="N26" i="49" a="1"/>
  <c r="H11" i="50" l="1"/>
  <c r="H31" i="50"/>
  <c r="H28" i="50"/>
  <c r="H30" i="50"/>
  <c r="H29" i="50"/>
  <c r="H15" i="50"/>
  <c r="H10" i="50"/>
  <c r="H26" i="50"/>
  <c r="H32" i="50"/>
  <c r="I32" i="50" s="1"/>
  <c r="H27" i="50"/>
  <c r="H22" i="50"/>
  <c r="H25" i="50"/>
  <c r="H12" i="50"/>
  <c r="H21" i="50"/>
  <c r="H9" i="50"/>
  <c r="H24" i="50"/>
  <c r="H8" i="50"/>
  <c r="H13" i="50"/>
  <c r="H7" i="50"/>
  <c r="H14" i="50"/>
  <c r="H6" i="50"/>
  <c r="H23" i="50"/>
  <c r="H5" i="50"/>
  <c r="X8" i="50"/>
  <c r="N26" i="49"/>
  <c r="O26" i="49" a="1"/>
  <c r="I31" i="50" l="1"/>
  <c r="O26" i="49"/>
  <c r="P26" i="49" a="1"/>
  <c r="I30" i="50" l="1"/>
  <c r="P26" i="49"/>
  <c r="Y5" i="50" s="1"/>
  <c r="Q26" i="49" a="1"/>
  <c r="I29" i="50" l="1"/>
  <c r="Y16" i="50"/>
  <c r="Y12" i="50"/>
  <c r="Y20" i="50"/>
  <c r="Y24" i="50"/>
  <c r="Y28" i="50"/>
  <c r="Y23" i="50"/>
  <c r="Y27" i="50"/>
  <c r="Y17" i="50"/>
  <c r="Y21" i="50"/>
  <c r="Y11" i="50"/>
  <c r="Y15" i="50"/>
  <c r="Y19" i="50"/>
  <c r="Y31" i="50"/>
  <c r="Z31" i="50" s="1"/>
  <c r="Y13" i="50"/>
  <c r="Y25" i="50"/>
  <c r="Y29" i="50"/>
  <c r="Y14" i="50"/>
  <c r="Y18" i="50"/>
  <c r="Y22" i="50"/>
  <c r="Y26" i="50"/>
  <c r="Y30" i="50"/>
  <c r="Q26" i="49"/>
  <c r="R26" i="49" a="1"/>
  <c r="I28" i="50" l="1"/>
  <c r="H18" i="50"/>
  <c r="H16" i="50"/>
  <c r="H20" i="50"/>
  <c r="Z30" i="50"/>
  <c r="Z29" i="50" s="1"/>
  <c r="Z28" i="50" s="1"/>
  <c r="Z27" i="50" s="1"/>
  <c r="Z26" i="50" s="1"/>
  <c r="Z25" i="50" s="1"/>
  <c r="Z24" i="50" s="1"/>
  <c r="Z23" i="50" s="1"/>
  <c r="Z22" i="50" s="1"/>
  <c r="Z21" i="50" s="1"/>
  <c r="Z20" i="50" s="1"/>
  <c r="Z19" i="50" s="1"/>
  <c r="Z18" i="50" s="1"/>
  <c r="Z17" i="50" s="1"/>
  <c r="Z16" i="50" s="1"/>
  <c r="Z15" i="50" s="1"/>
  <c r="Z14" i="50" s="1"/>
  <c r="Z13" i="50" s="1"/>
  <c r="Z12" i="50" s="1"/>
  <c r="Z11" i="50" s="1"/>
  <c r="H19" i="50"/>
  <c r="H17" i="50"/>
  <c r="R26" i="49"/>
  <c r="R32" i="49" s="1"/>
  <c r="L27" i="49"/>
  <c r="L28" i="49" s="1"/>
  <c r="L29" i="49" s="1"/>
  <c r="L33" i="49" s="1"/>
  <c r="M27" i="49"/>
  <c r="M28" i="49" s="1"/>
  <c r="M29" i="49" s="1"/>
  <c r="M33" i="49" s="1"/>
  <c r="N27" i="49"/>
  <c r="N28" i="49" s="1"/>
  <c r="N29" i="49" s="1"/>
  <c r="N33" i="49" s="1"/>
  <c r="O27" i="49"/>
  <c r="O28" i="49" s="1"/>
  <c r="O29" i="49" s="1"/>
  <c r="O33" i="49" s="1"/>
  <c r="P27" i="49"/>
  <c r="P28" i="49" s="1"/>
  <c r="P29" i="49" s="1"/>
  <c r="P33" i="49" s="1"/>
  <c r="Q27" i="49"/>
  <c r="Q28" i="49" s="1"/>
  <c r="Q29" i="49" s="1"/>
  <c r="Q33" i="49" s="1"/>
  <c r="R27" i="49"/>
  <c r="R28" i="49" s="1"/>
  <c r="R29" i="49" s="1"/>
  <c r="R33" i="49" s="1"/>
  <c r="L31" i="49"/>
  <c r="M31" i="49"/>
  <c r="N31" i="49"/>
  <c r="L32" i="49"/>
  <c r="M32" i="49"/>
  <c r="N32" i="49"/>
  <c r="O32" i="49"/>
  <c r="P32" i="49"/>
  <c r="Q32" i="49"/>
  <c r="L34" i="49"/>
  <c r="M34" i="49"/>
  <c r="N34" i="49"/>
  <c r="O34" i="49"/>
  <c r="P34" i="49"/>
  <c r="Q34" i="49"/>
  <c r="R34" i="49"/>
  <c r="L35" i="49"/>
  <c r="M35" i="49"/>
  <c r="N35" i="49"/>
  <c r="O35" i="49"/>
  <c r="P35" i="49"/>
  <c r="Q35" i="49"/>
  <c r="R35" i="49"/>
  <c r="I27" i="50" l="1"/>
  <c r="I26" i="50" s="1"/>
  <c r="Q36" i="49"/>
  <c r="Q37" i="49" s="1"/>
  <c r="Q38" i="49" s="1"/>
  <c r="N36" i="49"/>
  <c r="N37" i="49" s="1"/>
  <c r="N38" i="49" s="1"/>
  <c r="M36" i="49"/>
  <c r="M37" i="49" s="1"/>
  <c r="M38" i="49" s="1"/>
  <c r="P36" i="49"/>
  <c r="P37" i="49" s="1"/>
  <c r="P38" i="49" s="1"/>
  <c r="O36" i="49"/>
  <c r="O37" i="49" s="1"/>
  <c r="O38" i="49" s="1"/>
  <c r="L36" i="49"/>
  <c r="L37" i="49" s="1"/>
  <c r="L38" i="49" s="1"/>
  <c r="R36" i="49"/>
  <c r="R37" i="49" s="1"/>
  <c r="R38" i="49" s="1"/>
  <c r="I25" i="50" l="1"/>
  <c r="I24" i="50" l="1"/>
  <c r="H16" i="52" a="1"/>
  <c r="F16" i="52" a="1"/>
  <c r="D16" i="52" a="1"/>
  <c r="J16" i="52" a="1"/>
  <c r="F16" i="52" l="1"/>
  <c r="F14" i="52" s="1"/>
  <c r="D16" i="52"/>
  <c r="H16" i="52"/>
  <c r="J16" i="52"/>
  <c r="I23" i="50"/>
  <c r="I22" i="50" l="1"/>
  <c r="I21" i="50" l="1"/>
  <c r="C16" i="52" a="1"/>
  <c r="X17" i="5" a="1"/>
  <c r="Y18" i="5" a="1"/>
  <c r="D14" i="52" a="1"/>
  <c r="G16" i="52" a="1"/>
  <c r="H14" i="52" a="1"/>
  <c r="J14" i="52" a="1"/>
  <c r="I16" i="52" a="1"/>
  <c r="F18" i="5" a="1"/>
  <c r="C16" i="52" l="1"/>
  <c r="D14" i="52"/>
  <c r="D15" i="52" s="1"/>
  <c r="G16" i="52"/>
  <c r="H14" i="52"/>
  <c r="J14" i="52"/>
  <c r="I16" i="52"/>
  <c r="Y18" i="5"/>
  <c r="X17" i="5"/>
  <c r="I20" i="50"/>
  <c r="F18" i="5"/>
  <c r="F17" i="5" s="1"/>
  <c r="F19" i="5" s="1"/>
  <c r="F28" i="5" s="1"/>
  <c r="M18" i="5" a="1"/>
  <c r="J15" i="52" l="1"/>
  <c r="J17" i="52"/>
  <c r="H17" i="52"/>
  <c r="H18" i="52" s="1"/>
  <c r="H15" i="52"/>
  <c r="M18" i="5"/>
  <c r="M19" i="5" s="1"/>
  <c r="I19" i="50"/>
  <c r="I18" i="50" s="1"/>
  <c r="J18" i="52" l="1"/>
  <c r="J28" i="52"/>
  <c r="J30" i="52" s="1"/>
  <c r="I17" i="50"/>
  <c r="I18" i="5" a="1"/>
  <c r="L18" i="5" a="1"/>
  <c r="K18" i="5" a="1"/>
  <c r="J50" i="52" l="1"/>
  <c r="J52" i="52" s="1"/>
  <c r="L18" i="5"/>
  <c r="K18" i="5"/>
  <c r="I18" i="5"/>
  <c r="I16" i="50"/>
  <c r="I14" i="52" a="1"/>
  <c r="O14" i="52" a="1"/>
  <c r="E14" i="52" a="1"/>
  <c r="R17" i="5" a="1"/>
  <c r="M14" i="52" a="1"/>
  <c r="O17" i="5" a="1"/>
  <c r="N14" i="52" a="1"/>
  <c r="Q17" i="5" a="1"/>
  <c r="I17" i="5" a="1"/>
  <c r="J17" i="5" a="1"/>
  <c r="P14" i="52" a="1"/>
  <c r="E17" i="5" a="1"/>
  <c r="G14" i="52" a="1"/>
  <c r="C14" i="52" a="1"/>
  <c r="C14" i="52" l="1"/>
  <c r="E14" i="52"/>
  <c r="G14" i="52"/>
  <c r="O14" i="52"/>
  <c r="O15" i="52" s="1"/>
  <c r="P14" i="52"/>
  <c r="P15" i="52" s="1"/>
  <c r="N14" i="52"/>
  <c r="N15" i="52" s="1"/>
  <c r="M14" i="52"/>
  <c r="I14" i="52"/>
  <c r="H12" i="53"/>
  <c r="R17" i="5"/>
  <c r="R18" i="5" s="1"/>
  <c r="Q17" i="5"/>
  <c r="Q18" i="5" s="1"/>
  <c r="O17" i="5"/>
  <c r="L19" i="5"/>
  <c r="J17" i="5"/>
  <c r="I17" i="5"/>
  <c r="I19" i="5" s="1"/>
  <c r="I28" i="5" s="1"/>
  <c r="E17" i="5"/>
  <c r="I15" i="50"/>
  <c r="K17" i="5" a="1"/>
  <c r="J12" i="53" l="1"/>
  <c r="H13" i="53"/>
  <c r="J13" i="53" s="1"/>
  <c r="C37" i="53" s="1"/>
  <c r="C40" i="53" s="1"/>
  <c r="E38" i="53" s="1"/>
  <c r="I17" i="52"/>
  <c r="I15" i="52"/>
  <c r="G15" i="52"/>
  <c r="G17" i="52"/>
  <c r="E15" i="52"/>
  <c r="E16" i="52"/>
  <c r="C17" i="52"/>
  <c r="C15" i="52"/>
  <c r="K17" i="5"/>
  <c r="E18" i="5"/>
  <c r="E19" i="5" s="1"/>
  <c r="E28" i="5" s="1"/>
  <c r="I14" i="50"/>
  <c r="C38" i="53" l="1"/>
  <c r="G28" i="52"/>
  <c r="G30" i="52" s="1"/>
  <c r="G50" i="52" s="1"/>
  <c r="G18" i="52"/>
  <c r="C18" i="52"/>
  <c r="C29" i="52"/>
  <c r="C25" i="52" s="1"/>
  <c r="I18" i="52"/>
  <c r="I28" i="52"/>
  <c r="I30" i="52" s="1"/>
  <c r="I13" i="50"/>
  <c r="I40" i="53" l="1"/>
  <c r="D40" i="53"/>
  <c r="F40" i="53" s="1"/>
  <c r="L19" i="53"/>
  <c r="I50" i="52"/>
  <c r="I52" i="52" s="1"/>
  <c r="I12" i="50"/>
  <c r="H40" i="53" l="1"/>
  <c r="I11" i="50"/>
  <c r="I10" i="50" l="1"/>
  <c r="I9" i="50" l="1"/>
  <c r="I8" i="50" l="1"/>
  <c r="I7" i="50" l="1"/>
  <c r="I6" i="50" l="1"/>
  <c r="I5" i="50" l="1"/>
  <c r="M20" i="5" a="1"/>
  <c r="P16" i="5" a="1"/>
  <c r="H15" i="5" a="1"/>
  <c r="Z15" i="5" a="1"/>
  <c r="N20" i="5" a="1"/>
  <c r="AA16" i="5" a="1"/>
  <c r="O16" i="5" a="1"/>
  <c r="F12" i="52" a="1"/>
  <c r="G15" i="5" a="1"/>
  <c r="E16" i="5" a="1"/>
  <c r="P15" i="5" a="1"/>
  <c r="H16" i="5" a="1"/>
  <c r="N16" i="5" a="1"/>
  <c r="N15" i="5" a="1"/>
  <c r="M15" i="5" a="1"/>
  <c r="E13" i="52" a="1"/>
  <c r="G16" i="5" a="1"/>
  <c r="L15" i="5" a="1"/>
  <c r="E13" i="52" l="1"/>
  <c r="F12" i="52"/>
  <c r="F34" i="52"/>
  <c r="Z15" i="5"/>
  <c r="AA16" i="5"/>
  <c r="AA38" i="5" s="1"/>
  <c r="M20" i="5"/>
  <c r="M34" i="5" s="1"/>
  <c r="N20" i="5"/>
  <c r="P15" i="5"/>
  <c r="O16" i="5"/>
  <c r="O34" i="5" s="1"/>
  <c r="P16" i="5"/>
  <c r="N16" i="5"/>
  <c r="M15" i="5"/>
  <c r="N15" i="5"/>
  <c r="L15" i="5"/>
  <c r="L33" i="5" s="1"/>
  <c r="K34" i="5"/>
  <c r="H16" i="5"/>
  <c r="H34" i="5" s="1"/>
  <c r="G15" i="5"/>
  <c r="H15" i="5"/>
  <c r="G16" i="5"/>
  <c r="G34" i="5" s="1"/>
  <c r="E16" i="5"/>
  <c r="N34" i="5" l="1"/>
  <c r="M33" i="5"/>
  <c r="M30" i="5"/>
  <c r="L58" i="5"/>
  <c r="H33" i="5"/>
  <c r="H30" i="5"/>
  <c r="G33" i="5"/>
  <c r="G30" i="5"/>
  <c r="K57" i="5"/>
  <c r="E30" i="5"/>
  <c r="M58" i="5" l="1"/>
  <c r="M61" i="5"/>
  <c r="M35" i="5"/>
  <c r="M32" i="5" s="1"/>
  <c r="G58" i="5"/>
  <c r="G35" i="5"/>
  <c r="H58" i="5"/>
  <c r="H61" i="5"/>
  <c r="H35" i="5"/>
  <c r="G61" i="5"/>
  <c r="M36" i="5" l="1"/>
  <c r="M42" i="5" s="1"/>
  <c r="M50" i="5"/>
  <c r="M54" i="5" s="1"/>
  <c r="M53" i="5"/>
  <c r="M31" i="5"/>
  <c r="H38" i="5"/>
  <c r="H32" i="5"/>
  <c r="G38" i="5"/>
  <c r="G32" i="5"/>
  <c r="M45" i="5" l="1"/>
  <c r="M27" i="5"/>
  <c r="G53" i="5"/>
  <c r="G25" i="5"/>
  <c r="G50" i="5"/>
  <c r="G54" i="5" s="1"/>
  <c r="G36" i="5"/>
  <c r="G49" i="5"/>
  <c r="G48" i="5"/>
  <c r="H53" i="5"/>
  <c r="H36" i="5"/>
  <c r="H50" i="5"/>
  <c r="H54" i="5" s="1"/>
  <c r="H25" i="5"/>
  <c r="H49" i="5"/>
  <c r="H48" i="5"/>
  <c r="M64" i="5" l="1"/>
  <c r="M28" i="5"/>
  <c r="M52" i="5"/>
  <c r="M49" i="5"/>
  <c r="M40" i="5" s="1"/>
  <c r="M48" i="5"/>
  <c r="M41" i="5" s="1"/>
  <c r="M51" i="5"/>
  <c r="H41" i="5"/>
  <c r="H40" i="5"/>
  <c r="H71" i="5"/>
  <c r="H42" i="5"/>
  <c r="H37" i="5"/>
  <c r="G41" i="5"/>
  <c r="G40" i="5"/>
  <c r="G71" i="5"/>
  <c r="G42" i="5"/>
  <c r="G37" i="5"/>
  <c r="E55" i="5"/>
  <c r="M59" i="5" l="1"/>
  <c r="M60" i="5" s="1"/>
  <c r="M65" i="5"/>
  <c r="M72" i="5"/>
  <c r="M66" i="5"/>
  <c r="M67" i="5" s="1"/>
  <c r="M69" i="5" s="1"/>
  <c r="G64" i="5"/>
  <c r="G52" i="5"/>
  <c r="G51" i="5"/>
  <c r="H64" i="5"/>
  <c r="H52" i="5"/>
  <c r="H51" i="5"/>
  <c r="H73" i="5"/>
  <c r="G73" i="5"/>
  <c r="M70" i="5" l="1"/>
  <c r="M56" i="5"/>
  <c r="M74" i="5"/>
  <c r="G59" i="5"/>
  <c r="G60" i="5" s="1"/>
  <c r="G65" i="5"/>
  <c r="H59" i="5"/>
  <c r="H60" i="5" s="1"/>
  <c r="H65" i="5"/>
  <c r="H66" i="5"/>
  <c r="H67" i="5" s="1"/>
  <c r="H69" i="5" s="1"/>
  <c r="H72" i="5"/>
  <c r="G66" i="5"/>
  <c r="G67" i="5" s="1"/>
  <c r="G69" i="5" s="1"/>
  <c r="G72" i="5"/>
  <c r="G70" i="5" l="1"/>
  <c r="G74" i="5"/>
  <c r="G56" i="5"/>
  <c r="H74" i="5"/>
  <c r="H70" i="5"/>
  <c r="H56" i="5"/>
  <c r="E34" i="5" l="1"/>
  <c r="E35" i="5" l="1"/>
  <c r="E61" i="5"/>
  <c r="E32" i="5" l="1"/>
  <c r="E25" i="5" l="1"/>
  <c r="I14" i="5" l="1"/>
  <c r="E71" i="5"/>
  <c r="E73" i="5" l="1"/>
  <c r="E43" i="5" l="1"/>
  <c r="E45" i="5" l="1"/>
  <c r="E50" i="5"/>
  <c r="E36" i="5"/>
  <c r="E58" i="5"/>
  <c r="E42" i="5" l="1"/>
  <c r="E54" i="5"/>
  <c r="E49" i="5"/>
  <c r="E48" i="5"/>
  <c r="E41" i="5" l="1"/>
  <c r="E40" i="5"/>
  <c r="E57" i="5" l="1"/>
  <c r="E53" i="5" l="1"/>
  <c r="E38" i="5"/>
  <c r="E37" i="5" l="1"/>
  <c r="E64" i="5" l="1"/>
  <c r="E66" i="5" s="1"/>
  <c r="E67" i="5" s="1"/>
  <c r="E69" i="5" s="1"/>
  <c r="E51" i="5"/>
  <c r="E59" i="5" s="1"/>
  <c r="E52" i="5"/>
  <c r="E72" i="5" l="1"/>
  <c r="E65" i="5"/>
  <c r="E60" i="5"/>
  <c r="E74" i="5" l="1"/>
  <c r="E56" i="5"/>
  <c r="E70" i="5"/>
  <c r="F43" i="5" l="1"/>
  <c r="F45" i="5" l="1"/>
  <c r="F57" i="5" l="1"/>
  <c r="F15" i="5" a="1"/>
  <c r="F15" i="5" l="1"/>
  <c r="F33" i="5" s="1"/>
  <c r="F35" i="5" s="1"/>
  <c r="F30" i="5" l="1"/>
  <c r="F61" i="5"/>
  <c r="F58" i="5"/>
  <c r="F38" i="5"/>
  <c r="F32" i="5"/>
  <c r="F50" i="5" s="1"/>
  <c r="F54" i="5" s="1"/>
  <c r="F48" i="5" l="1"/>
  <c r="F36" i="5"/>
  <c r="F25" i="5"/>
  <c r="F53" i="5"/>
  <c r="F49" i="5"/>
  <c r="F40" i="5" l="1"/>
  <c r="F42" i="5"/>
  <c r="F41" i="5"/>
  <c r="F71" i="5"/>
  <c r="F73" i="5" s="1"/>
  <c r="F37" i="5"/>
  <c r="F51" i="5" l="1"/>
  <c r="F64" i="5"/>
  <c r="F52" i="5"/>
  <c r="F66" i="5" l="1"/>
  <c r="F67" i="5" s="1"/>
  <c r="F69" i="5" s="1"/>
  <c r="F72" i="5"/>
  <c r="F65" i="5"/>
  <c r="F59" i="5"/>
  <c r="F60" i="5" s="1"/>
  <c r="F74" i="5" l="1"/>
  <c r="F70" i="5"/>
  <c r="F56" i="5"/>
  <c r="I50" i="5"/>
  <c r="I54" i="5" s="1"/>
  <c r="I53" i="5" l="1"/>
  <c r="M23" i="5" l="1"/>
  <c r="M24" i="5" s="1"/>
  <c r="M29" i="5" s="1"/>
  <c r="I57" i="5" l="1"/>
  <c r="I45" i="5" l="1"/>
  <c r="I48" i="5" s="1"/>
  <c r="I41" i="5" s="1"/>
  <c r="I42" i="5"/>
  <c r="I58" i="5"/>
  <c r="I61" i="5"/>
  <c r="I51" i="5" l="1"/>
  <c r="I65" i="5" s="1"/>
  <c r="I52" i="5"/>
  <c r="I49" i="5"/>
  <c r="I40" i="5" s="1"/>
  <c r="I64" i="5"/>
  <c r="I59" i="5" l="1"/>
  <c r="I60" i="5" s="1"/>
  <c r="I66" i="5"/>
  <c r="I67" i="5" s="1"/>
  <c r="I69" i="5" s="1"/>
  <c r="I72" i="5"/>
  <c r="I74" i="5" l="1"/>
  <c r="I70" i="5"/>
  <c r="I56" i="5"/>
  <c r="J19" i="5"/>
  <c r="J33" i="5"/>
  <c r="J24" i="5"/>
  <c r="J16" i="5" a="1"/>
  <c r="J16" i="5" l="1"/>
  <c r="J34" i="5" s="1"/>
  <c r="J35" i="5" s="1"/>
  <c r="J38" i="5" s="1"/>
  <c r="J37" i="5" s="1"/>
  <c r="J57" i="5"/>
  <c r="J58" i="5"/>
  <c r="J30" i="5" l="1"/>
  <c r="J61" i="5"/>
  <c r="J32" i="5"/>
  <c r="J53" i="5" s="1"/>
  <c r="J36" i="5" l="1"/>
  <c r="J42" i="5" s="1"/>
  <c r="J50" i="5"/>
  <c r="J54" i="5" s="1"/>
  <c r="J31" i="5"/>
  <c r="J45" i="5" s="1"/>
  <c r="J27" i="5" l="1"/>
  <c r="J29" i="5" s="1"/>
  <c r="J49" i="5"/>
  <c r="J40" i="5" s="1"/>
  <c r="J52" i="5"/>
  <c r="J51" i="5"/>
  <c r="J48" i="5"/>
  <c r="J41" i="5" s="1"/>
  <c r="J64" i="5" l="1"/>
  <c r="J66" i="5" s="1"/>
  <c r="J67" i="5" s="1"/>
  <c r="J69" i="5" s="1"/>
  <c r="J28" i="5"/>
  <c r="J59" i="5"/>
  <c r="J60" i="5" s="1"/>
  <c r="J65" i="5"/>
  <c r="J72" i="5" l="1"/>
  <c r="J74" i="5" s="1"/>
  <c r="K30" i="5"/>
  <c r="K33" i="5"/>
  <c r="K35" i="5" s="1"/>
  <c r="K32" i="5" s="1"/>
  <c r="J56" i="5" l="1"/>
  <c r="J70" i="5"/>
  <c r="K61" i="5"/>
  <c r="K58" i="5"/>
  <c r="K53" i="5"/>
  <c r="K50" i="5"/>
  <c r="K54" i="5" s="1"/>
  <c r="K31" i="5"/>
  <c r="K36" i="5"/>
  <c r="K42" i="5" s="1"/>
  <c r="K45" i="5" l="1"/>
  <c r="K27" i="5"/>
  <c r="K64" i="5" l="1"/>
  <c r="K19" i="5"/>
  <c r="K28" i="5" s="1"/>
  <c r="K24" i="5"/>
  <c r="K29" i="5" s="1"/>
  <c r="K52" i="5"/>
  <c r="K49" i="5"/>
  <c r="K40" i="5" s="1"/>
  <c r="K51" i="5"/>
  <c r="K48" i="5"/>
  <c r="K41" i="5" s="1"/>
  <c r="K65" i="5" l="1"/>
  <c r="K59" i="5"/>
  <c r="K60" i="5" s="1"/>
  <c r="K66" i="5"/>
  <c r="K67" i="5" s="1"/>
  <c r="K69" i="5" s="1"/>
  <c r="K72" i="5"/>
  <c r="K56" i="5" l="1"/>
  <c r="K70" i="5"/>
  <c r="K74" i="5"/>
  <c r="L24" i="5"/>
  <c r="L20" i="5" a="1"/>
  <c r="L20" i="5" l="1"/>
  <c r="L34" i="5" s="1"/>
  <c r="L61" i="5" s="1"/>
  <c r="L35" i="5" l="1"/>
  <c r="L32" i="5" s="1"/>
  <c r="L36" i="5" s="1"/>
  <c r="L42" i="5" s="1"/>
  <c r="L30" i="5"/>
  <c r="L53" i="5" l="1"/>
  <c r="L50" i="5"/>
  <c r="L54" i="5" s="1"/>
  <c r="L31" i="5"/>
  <c r="L27" i="5" s="1"/>
  <c r="L45" i="5" l="1"/>
  <c r="L48" i="5" s="1"/>
  <c r="L41" i="5" s="1"/>
  <c r="L28" i="5"/>
  <c r="L64" i="5"/>
  <c r="L29" i="5"/>
  <c r="L49" i="5" l="1"/>
  <c r="L40" i="5" s="1"/>
  <c r="L51" i="5"/>
  <c r="L65" i="5" s="1"/>
  <c r="L52" i="5"/>
  <c r="L66" i="5"/>
  <c r="L67" i="5" s="1"/>
  <c r="L69" i="5" s="1"/>
  <c r="L72" i="5"/>
  <c r="L59" i="5" l="1"/>
  <c r="L60" i="5" s="1"/>
  <c r="L70" i="5"/>
  <c r="L74" i="5"/>
  <c r="L56" i="5"/>
  <c r="O19" i="5"/>
  <c r="O24" i="5"/>
  <c r="P21" i="5" a="1"/>
  <c r="O21" i="5" a="1"/>
  <c r="P21" i="5" l="1"/>
  <c r="O21" i="5"/>
  <c r="O30" i="5" s="1"/>
  <c r="O33" i="5" l="1"/>
  <c r="O35" i="5" s="1"/>
  <c r="O32" i="5" s="1"/>
  <c r="O36" i="5" s="1"/>
  <c r="O42" i="5" s="1"/>
  <c r="O57" i="5"/>
  <c r="P33" i="5"/>
  <c r="P58" i="5" s="1"/>
  <c r="P57" i="5"/>
  <c r="O31" i="5" l="1"/>
  <c r="O45" i="5" s="1"/>
  <c r="O51" i="5" s="1"/>
  <c r="O61" i="5"/>
  <c r="O50" i="5"/>
  <c r="O54" i="5" s="1"/>
  <c r="O53" i="5"/>
  <c r="O58" i="5"/>
  <c r="O27" i="5" l="1"/>
  <c r="O29" i="5" s="1"/>
  <c r="O52" i="5"/>
  <c r="O48" i="5"/>
  <c r="O41" i="5" s="1"/>
  <c r="O49" i="5"/>
  <c r="O40" i="5" s="1"/>
  <c r="O65" i="5"/>
  <c r="O59" i="5" l="1"/>
  <c r="O60" i="5" s="1"/>
  <c r="O64" i="5"/>
  <c r="O72" i="5" s="1"/>
  <c r="O70" i="5" s="1"/>
  <c r="O28" i="5"/>
  <c r="N24" i="5"/>
  <c r="N21" i="5" a="1"/>
  <c r="O56" i="5" l="1"/>
  <c r="O74" i="5"/>
  <c r="O66" i="5"/>
  <c r="O67" i="5" s="1"/>
  <c r="O69" i="5" s="1"/>
  <c r="N21" i="5"/>
  <c r="N30" i="5" s="1"/>
  <c r="N33" i="5" l="1"/>
  <c r="N35" i="5" s="1"/>
  <c r="N32" i="5" s="1"/>
  <c r="N50" i="5" s="1"/>
  <c r="N54" i="5" s="1"/>
  <c r="N57" i="5"/>
  <c r="N58" i="5" l="1"/>
  <c r="N61" i="5"/>
  <c r="N36" i="5"/>
  <c r="N42" i="5" s="1"/>
  <c r="N31" i="5"/>
  <c r="N27" i="5" s="1"/>
  <c r="N28" i="5" s="1"/>
  <c r="N53" i="5"/>
  <c r="N29" i="5" l="1"/>
  <c r="N64" i="5"/>
  <c r="N66" i="5" s="1"/>
  <c r="N67" i="5" s="1"/>
  <c r="N69" i="5" s="1"/>
  <c r="N45" i="5"/>
  <c r="N48" i="5" s="1"/>
  <c r="N41" i="5" s="1"/>
  <c r="N72" i="5" l="1"/>
  <c r="N74" i="5" s="1"/>
  <c r="N49" i="5"/>
  <c r="N40" i="5" s="1"/>
  <c r="N52" i="5"/>
  <c r="N51" i="5"/>
  <c r="N65" i="5" s="1"/>
  <c r="P24" i="5"/>
  <c r="P20" i="5" a="1"/>
  <c r="N56" i="5" l="1"/>
  <c r="N70" i="5"/>
  <c r="N59" i="5"/>
  <c r="N60" i="5" s="1"/>
  <c r="P20" i="5"/>
  <c r="P34" i="5" s="1"/>
  <c r="P35" i="5" s="1"/>
  <c r="P32" i="5" s="1"/>
  <c r="P50" i="5" s="1"/>
  <c r="P54" i="5" s="1"/>
  <c r="P30" i="5" l="1"/>
  <c r="P61" i="5"/>
  <c r="P31" i="5"/>
  <c r="P45" i="5" s="1"/>
  <c r="P36" i="5"/>
  <c r="P42" i="5" s="1"/>
  <c r="P53" i="5"/>
  <c r="P27" i="5" l="1"/>
  <c r="P64" i="5" s="1"/>
  <c r="P49" i="5"/>
  <c r="P40" i="5" s="1"/>
  <c r="P48" i="5"/>
  <c r="P41" i="5" s="1"/>
  <c r="P51" i="5"/>
  <c r="P52" i="5"/>
  <c r="P29" i="5" l="1"/>
  <c r="P28" i="5"/>
  <c r="P65" i="5"/>
  <c r="P59" i="5"/>
  <c r="P60" i="5" s="1"/>
  <c r="P72" i="5"/>
  <c r="P66" i="5"/>
  <c r="P67" i="5" s="1"/>
  <c r="P69" i="5" s="1"/>
  <c r="P70" i="5" l="1"/>
  <c r="P74" i="5"/>
  <c r="P56" i="5"/>
  <c r="R64" i="5"/>
  <c r="Q16" i="5" a="1"/>
  <c r="R72" i="5" l="1"/>
  <c r="Q16" i="5"/>
  <c r="Q30" i="5" s="1"/>
  <c r="Q19" i="5"/>
  <c r="Q28" i="5" s="1"/>
  <c r="Q34" i="5" l="1"/>
  <c r="Q35" i="5" s="1"/>
  <c r="R74" i="5"/>
  <c r="Q38" i="5" l="1"/>
  <c r="Q37" i="5" s="1"/>
  <c r="Q64" i="5" s="1"/>
  <c r="Q72" i="5" s="1"/>
  <c r="Q32" i="5"/>
  <c r="Q31" i="5" s="1"/>
  <c r="Q61" i="5"/>
  <c r="Q50" i="5" l="1"/>
  <c r="Q54" i="5" s="1"/>
  <c r="Q26" i="5"/>
  <c r="Q53" i="5"/>
  <c r="Q36" i="5"/>
  <c r="Q42" i="5" s="1"/>
  <c r="Q74" i="5"/>
  <c r="Q45" i="5" l="1"/>
  <c r="Q49" i="5" s="1"/>
  <c r="Q40" i="5" s="1"/>
  <c r="Q71" i="5"/>
  <c r="Q66" i="5"/>
  <c r="Q67" i="5" s="1"/>
  <c r="Q69" i="5" s="1"/>
  <c r="R16" i="5" a="1"/>
  <c r="Q51" i="5" l="1"/>
  <c r="Q59" i="5" s="1"/>
  <c r="Q60" i="5" s="1"/>
  <c r="Q48" i="5"/>
  <c r="Q41" i="5" s="1"/>
  <c r="Q52" i="5"/>
  <c r="Q73" i="5"/>
  <c r="Q56" i="5"/>
  <c r="Q70" i="5"/>
  <c r="R16" i="5"/>
  <c r="R34" i="5" s="1"/>
  <c r="R19" i="5"/>
  <c r="R28" i="5" s="1"/>
  <c r="R24" i="5"/>
  <c r="R29" i="5" s="1"/>
  <c r="R21" i="5" a="1"/>
  <c r="Q65" i="5" l="1"/>
  <c r="R21" i="5"/>
  <c r="R30" i="5" s="1"/>
  <c r="R57" i="5" l="1"/>
  <c r="R33" i="5"/>
  <c r="R35" i="5" s="1"/>
  <c r="R32" i="5" s="1"/>
  <c r="R58" i="5" l="1"/>
  <c r="R61" i="5"/>
  <c r="R31" i="5"/>
  <c r="R26" i="5" s="1"/>
  <c r="R45" i="5"/>
  <c r="R36" i="5"/>
  <c r="R42" i="5" s="1"/>
  <c r="R71" i="5" l="1"/>
  <c r="R66" i="5"/>
  <c r="R67" i="5" s="1"/>
  <c r="R69" i="5" s="1"/>
  <c r="R48" i="5"/>
  <c r="R41" i="5" s="1"/>
  <c r="R51" i="5"/>
  <c r="R52" i="5"/>
  <c r="R49" i="5"/>
  <c r="R40" i="5" s="1"/>
  <c r="R65" i="5" l="1"/>
  <c r="R59" i="5"/>
  <c r="R60" i="5" s="1"/>
  <c r="R73" i="5"/>
  <c r="R70" i="5"/>
  <c r="R56" i="5"/>
  <c r="C34" i="52"/>
  <c r="E34" i="52"/>
  <c r="D17" i="52"/>
  <c r="F28" i="52"/>
  <c r="F30" i="52" s="1"/>
  <c r="F50" i="52" s="1"/>
  <c r="E28" i="52"/>
  <c r="E30" i="52" s="1"/>
  <c r="E50" i="52" s="1"/>
  <c r="D18" i="52" l="1"/>
  <c r="D29" i="52"/>
  <c r="D25" i="52" s="1"/>
  <c r="D33" i="52"/>
  <c r="D23" i="52" l="1"/>
  <c r="C24" i="52"/>
  <c r="C22" i="52" a="1"/>
  <c r="C22" i="52" l="1"/>
  <c r="C33" i="52" s="1"/>
  <c r="C28" i="52"/>
  <c r="C30" i="52" l="1"/>
  <c r="C50" i="52" s="1"/>
  <c r="C35" i="52"/>
  <c r="C36" i="52" s="1"/>
  <c r="C38" i="52" l="1"/>
  <c r="C37" i="52"/>
  <c r="M40" i="52" s="1"/>
  <c r="M59" i="52" s="1"/>
  <c r="J41" i="52" l="1"/>
  <c r="I40" i="52"/>
  <c r="I59" i="52" s="1"/>
  <c r="J40" i="52"/>
  <c r="J59" i="52" s="1"/>
  <c r="I41" i="52"/>
  <c r="J42" i="52"/>
  <c r="I42" i="52"/>
  <c r="D43" i="52"/>
  <c r="I44" i="52"/>
  <c r="J43" i="52"/>
  <c r="J60" i="52" s="1"/>
  <c r="I43" i="52"/>
  <c r="J44" i="52"/>
  <c r="I45" i="52"/>
  <c r="I49" i="52" s="1"/>
  <c r="I51" i="52" s="1"/>
  <c r="J45" i="52"/>
  <c r="J49" i="52" s="1"/>
  <c r="J51" i="52" s="1"/>
  <c r="N40" i="52"/>
  <c r="N59" i="52" s="1"/>
  <c r="P40" i="52"/>
  <c r="P59" i="52" s="1"/>
  <c r="O40" i="52"/>
  <c r="O59" i="52" s="1"/>
  <c r="O42" i="52"/>
  <c r="O55" i="52" s="1"/>
  <c r="M42" i="52"/>
  <c r="M55" i="52" s="1"/>
  <c r="N43" i="52"/>
  <c r="P43" i="52"/>
  <c r="M43" i="52"/>
  <c r="O43" i="52"/>
  <c r="O45" i="52"/>
  <c r="O49" i="52" s="1"/>
  <c r="M45" i="52"/>
  <c r="M49" i="52" s="1"/>
  <c r="F44" i="52"/>
  <c r="C44" i="52"/>
  <c r="C43" i="52"/>
  <c r="C45" i="52"/>
  <c r="C49" i="52" s="1"/>
  <c r="C41" i="52"/>
  <c r="C40" i="52"/>
  <c r="C59" i="52" s="1"/>
  <c r="C42" i="52"/>
  <c r="C55" i="52" s="1"/>
  <c r="E44" i="52"/>
  <c r="D40" i="52"/>
  <c r="D59" i="52" s="1"/>
  <c r="E41" i="52"/>
  <c r="F41" i="52"/>
  <c r="I55" i="52" l="1"/>
  <c r="I56" i="52" s="1"/>
  <c r="I48" i="52"/>
  <c r="I60" i="52"/>
  <c r="I61" i="52" s="1"/>
  <c r="J55" i="52"/>
  <c r="J56" i="52" s="1"/>
  <c r="J48" i="52"/>
  <c r="J61" i="52"/>
  <c r="M48" i="52"/>
  <c r="M31" i="52"/>
  <c r="M17" i="52" s="1"/>
  <c r="O48" i="52"/>
  <c r="C48" i="52"/>
  <c r="C52" i="52"/>
  <c r="C51" i="52" s="1"/>
  <c r="C56" i="52"/>
  <c r="C60" i="52"/>
  <c r="C61" i="52" s="1"/>
  <c r="J31" i="52" l="1"/>
  <c r="J57" i="52"/>
  <c r="I31" i="52"/>
  <c r="I57" i="52"/>
  <c r="C57" i="52"/>
  <c r="C31" i="52"/>
  <c r="M18" i="52"/>
  <c r="M16" i="52"/>
  <c r="C72" i="52"/>
  <c r="O31" i="52"/>
  <c r="O17" i="52" s="1"/>
  <c r="P31" i="52"/>
  <c r="P17" i="52" s="1"/>
  <c r="N31" i="52"/>
  <c r="N17" i="52" s="1"/>
  <c r="C71" i="52"/>
  <c r="C70" i="52"/>
  <c r="C75" i="52"/>
  <c r="C74" i="52"/>
  <c r="C73" i="52"/>
  <c r="M13" i="52" a="1"/>
  <c r="M13" i="52" l="1"/>
  <c r="M34" i="52" s="1"/>
  <c r="O16" i="52"/>
  <c r="O18" i="52"/>
  <c r="O28" i="52"/>
  <c r="O30" i="52" s="1"/>
  <c r="N16" i="52"/>
  <c r="N18" i="52"/>
  <c r="N28" i="52"/>
  <c r="N30" i="52" s="1"/>
  <c r="P16" i="52"/>
  <c r="P18" i="52"/>
  <c r="P28" i="52"/>
  <c r="P30" i="52" s="1"/>
  <c r="E33" i="52"/>
  <c r="O13" i="52" a="1"/>
  <c r="N13" i="52" a="1"/>
  <c r="P13" i="52" a="1"/>
  <c r="P13" i="52" l="1"/>
  <c r="P34" i="52" s="1"/>
  <c r="N13" i="52"/>
  <c r="N34" i="52" s="1"/>
  <c r="O13" i="52"/>
  <c r="O34" i="52" s="1"/>
  <c r="N50" i="52"/>
  <c r="N57" i="52"/>
  <c r="O50" i="52"/>
  <c r="O52" i="52" s="1"/>
  <c r="O57" i="52"/>
  <c r="P50" i="52"/>
  <c r="P57" i="52"/>
  <c r="E43" i="52"/>
  <c r="E60" i="52" s="1"/>
  <c r="E40" i="52"/>
  <c r="E59" i="52" s="1"/>
  <c r="E35" i="52"/>
  <c r="E36" i="52" s="1"/>
  <c r="O51" i="52" l="1"/>
  <c r="O73" i="52"/>
  <c r="O70" i="52"/>
  <c r="O72" i="52"/>
  <c r="O75" i="52"/>
  <c r="O44" i="52"/>
  <c r="O74" i="52" s="1"/>
  <c r="O41" i="52"/>
  <c r="O60" i="52" s="1"/>
  <c r="O61" i="52" s="1"/>
  <c r="N35" i="52"/>
  <c r="N36" i="52" s="1"/>
  <c r="N44" i="52"/>
  <c r="N41" i="52"/>
  <c r="N60" i="52" s="1"/>
  <c r="N61" i="52" s="1"/>
  <c r="P35" i="52"/>
  <c r="P36" i="52" s="1"/>
  <c r="P44" i="52"/>
  <c r="P41" i="52"/>
  <c r="P60" i="52" s="1"/>
  <c r="P61" i="52" s="1"/>
  <c r="E37" i="52"/>
  <c r="E38" i="52"/>
  <c r="E61" i="52"/>
  <c r="E52" i="52"/>
  <c r="O71" i="52" l="1"/>
  <c r="P37" i="52"/>
  <c r="P38" i="52"/>
  <c r="P42" i="52"/>
  <c r="P45" i="52"/>
  <c r="P49" i="52" s="1"/>
  <c r="N37" i="52"/>
  <c r="N38" i="52"/>
  <c r="N42" i="52"/>
  <c r="N45" i="52"/>
  <c r="N49" i="52" s="1"/>
  <c r="N52" i="52"/>
  <c r="N74" i="52" s="1"/>
  <c r="P52" i="52"/>
  <c r="E45" i="52"/>
  <c r="E49" i="52" s="1"/>
  <c r="E51" i="52" s="1"/>
  <c r="E42" i="52"/>
  <c r="E55" i="52" s="1"/>
  <c r="N55" i="52" l="1"/>
  <c r="N48" i="52"/>
  <c r="P73" i="52"/>
  <c r="P70" i="52"/>
  <c r="P72" i="52"/>
  <c r="P75" i="52"/>
  <c r="P71" i="52"/>
  <c r="N71" i="52"/>
  <c r="N72" i="52"/>
  <c r="N73" i="52"/>
  <c r="N75" i="52"/>
  <c r="N70" i="52"/>
  <c r="P74" i="52"/>
  <c r="P51" i="52"/>
  <c r="P55" i="52"/>
  <c r="P48" i="52"/>
  <c r="N51" i="52"/>
  <c r="E56" i="52"/>
  <c r="E48" i="52"/>
  <c r="E71" i="52"/>
  <c r="E73" i="52"/>
  <c r="E70" i="52"/>
  <c r="E75" i="52"/>
  <c r="E74" i="52"/>
  <c r="E72" i="52"/>
  <c r="E57" i="52" l="1"/>
  <c r="E31" i="52"/>
  <c r="D28" i="52"/>
  <c r="D30" i="52" s="1"/>
  <c r="D50" i="52" s="1"/>
  <c r="D21" i="52" a="1"/>
  <c r="D21" i="52" l="1"/>
  <c r="D34" i="52" s="1"/>
  <c r="D44" i="52" l="1"/>
  <c r="D41" i="52"/>
  <c r="D60" i="52" s="1"/>
  <c r="D61" i="52" s="1"/>
  <c r="D35" i="52"/>
  <c r="D36" i="52" s="1"/>
  <c r="D37" i="52" l="1"/>
  <c r="D38" i="52"/>
  <c r="D52" i="52"/>
  <c r="D45" i="52" l="1"/>
  <c r="D49" i="52" s="1"/>
  <c r="D51" i="52" s="1"/>
  <c r="D42" i="52"/>
  <c r="D55" i="52" s="1"/>
  <c r="D56" i="52" l="1"/>
  <c r="D48" i="52"/>
  <c r="D70" i="52"/>
  <c r="D75" i="52"/>
  <c r="D72" i="52"/>
  <c r="D71" i="52"/>
  <c r="D74" i="52"/>
  <c r="D73" i="52"/>
  <c r="D57" i="52" l="1"/>
  <c r="D31" i="52"/>
  <c r="F33" i="52"/>
  <c r="F35" i="52" l="1"/>
  <c r="F36" i="52" s="1"/>
  <c r="F43" i="52"/>
  <c r="F60" i="52" s="1"/>
  <c r="F40" i="52"/>
  <c r="F59" i="52" s="1"/>
  <c r="F37" i="52" l="1"/>
  <c r="F38" i="52"/>
  <c r="F61" i="52"/>
  <c r="F45" i="52" l="1"/>
  <c r="F49" i="52" s="1"/>
  <c r="F52" i="52"/>
  <c r="F42" i="52"/>
  <c r="F55" i="52" s="1"/>
  <c r="F51" i="52" l="1"/>
  <c r="F56" i="52"/>
  <c r="F48" i="52"/>
  <c r="F70" i="52"/>
  <c r="F71" i="52"/>
  <c r="F73" i="52"/>
  <c r="F75" i="52"/>
  <c r="F72" i="52"/>
  <c r="F74" i="52"/>
  <c r="F57" i="52" l="1"/>
  <c r="F31" i="52"/>
  <c r="G34" i="52"/>
  <c r="G41" i="52" l="1"/>
  <c r="G44" i="52"/>
  <c r="H33" i="52"/>
  <c r="H43" i="52" l="1"/>
  <c r="H40" i="52"/>
  <c r="H59" i="52" s="1"/>
  <c r="G33" i="52"/>
  <c r="G40" i="52" s="1"/>
  <c r="G59" i="52" s="1"/>
  <c r="H35" i="52"/>
  <c r="H36" i="52" s="1"/>
  <c r="H37" i="52" l="1"/>
  <c r="H38" i="52"/>
  <c r="G43" i="52"/>
  <c r="G60" i="52" s="1"/>
  <c r="G61" i="52" s="1"/>
  <c r="G35" i="52"/>
  <c r="G36" i="52" s="1"/>
  <c r="H44" i="52"/>
  <c r="H41" i="52"/>
  <c r="H60" i="52" s="1"/>
  <c r="H61" i="52" s="1"/>
  <c r="G38" i="52" l="1"/>
  <c r="G37" i="52"/>
  <c r="H42" i="52"/>
  <c r="H55" i="52" s="1"/>
  <c r="H45" i="52"/>
  <c r="H49" i="52" s="1"/>
  <c r="G52" i="52"/>
  <c r="H28" i="52"/>
  <c r="H30" i="52" s="1"/>
  <c r="H50" i="52" s="1"/>
  <c r="H56" i="52" l="1"/>
  <c r="H48" i="52"/>
  <c r="H52" i="52"/>
  <c r="H51" i="52" s="1"/>
  <c r="G42" i="52"/>
  <c r="G55" i="52" s="1"/>
  <c r="G45" i="52"/>
  <c r="G49" i="52" s="1"/>
  <c r="G51" i="52" s="1"/>
  <c r="H57" i="52" l="1"/>
  <c r="H31" i="52"/>
  <c r="G56" i="52"/>
  <c r="G48" i="52"/>
  <c r="G57" i="52" l="1"/>
  <c r="G31" i="52"/>
  <c r="Z49" i="5"/>
  <c r="X49" i="5"/>
  <c r="Y49" i="5"/>
  <c r="AA49" i="5"/>
  <c r="Y31" i="5"/>
  <c r="Y25" i="5" s="1"/>
  <c r="Y23" i="5" a="1"/>
  <c r="Y23" i="5" l="1"/>
  <c r="Y61" i="5" s="1"/>
  <c r="Y28" i="5"/>
  <c r="Y33" i="5" s="1"/>
  <c r="Y17" i="5"/>
  <c r="Z31" i="5"/>
  <c r="Z18" i="5"/>
  <c r="Z19" i="5" s="1"/>
  <c r="Z21" i="5" s="1"/>
  <c r="Z32" i="5" s="1"/>
  <c r="Y15" i="5" a="1"/>
  <c r="Z16" i="5" a="1"/>
  <c r="Z16" i="5" l="1"/>
  <c r="Z38" i="5" s="1"/>
  <c r="Y15" i="5"/>
  <c r="Y19" i="5"/>
  <c r="Y21" i="5" s="1"/>
  <c r="Y32" i="5" s="1"/>
  <c r="Z25" i="5"/>
  <c r="X31" i="5"/>
  <c r="X18" i="5"/>
  <c r="X19" i="5" s="1"/>
  <c r="X16" i="5" a="1"/>
  <c r="Z23" i="5" a="1"/>
  <c r="X16" i="5" l="1"/>
  <c r="X38" i="5" s="1"/>
  <c r="Z23" i="5"/>
  <c r="X21" i="5"/>
  <c r="X32" i="5" s="1"/>
  <c r="X25" i="5"/>
  <c r="Z28" i="5"/>
  <c r="Z33" i="5" s="1"/>
  <c r="Y34" i="5"/>
  <c r="Y37" i="5"/>
  <c r="AA31" i="5"/>
  <c r="X23" i="5" a="1"/>
  <c r="X23" i="5" l="1"/>
  <c r="AA25" i="5"/>
  <c r="AA17" i="5"/>
  <c r="X28" i="5"/>
  <c r="X33" i="5" s="1"/>
  <c r="Z61" i="5"/>
  <c r="Z34" i="5"/>
  <c r="Z37" i="5"/>
  <c r="Y39" i="5"/>
  <c r="Y65" i="5"/>
  <c r="Y62" i="5"/>
  <c r="AA15" i="5" a="1"/>
  <c r="AA23" i="5" a="1"/>
  <c r="AA15" i="5" l="1"/>
  <c r="AA23" i="5"/>
  <c r="AA61" i="5" s="1"/>
  <c r="AA19" i="5"/>
  <c r="AA21" i="5" s="1"/>
  <c r="AA32" i="5" s="1"/>
  <c r="Y36" i="5"/>
  <c r="Y42" i="5"/>
  <c r="AA28" i="5"/>
  <c r="AA33" i="5" s="1"/>
  <c r="Z39" i="5"/>
  <c r="Z62" i="5"/>
  <c r="Z65" i="5"/>
  <c r="X61" i="5"/>
  <c r="X34" i="5"/>
  <c r="X37" i="5"/>
  <c r="X39" i="5" l="1"/>
  <c r="X65" i="5"/>
  <c r="X62" i="5"/>
  <c r="Z36" i="5"/>
  <c r="Z42" i="5"/>
  <c r="Y54" i="5"/>
  <c r="Y58" i="5" s="1"/>
  <c r="Y57" i="5"/>
  <c r="Y40" i="5"/>
  <c r="Y53" i="5"/>
  <c r="Y29" i="5"/>
  <c r="Y52" i="5"/>
  <c r="AA34" i="5"/>
  <c r="AA37" i="5"/>
  <c r="AA62" i="5" l="1"/>
  <c r="AA65" i="5"/>
  <c r="AA39" i="5"/>
  <c r="X42" i="5"/>
  <c r="X36" i="5"/>
  <c r="Y45" i="5"/>
  <c r="Y41" i="5"/>
  <c r="Y44" i="5"/>
  <c r="Y46" i="5"/>
  <c r="Y75" i="5"/>
  <c r="Z29" i="5"/>
  <c r="Z54" i="5"/>
  <c r="Z58" i="5" s="1"/>
  <c r="Z57" i="5"/>
  <c r="Z40" i="5"/>
  <c r="Z53" i="5"/>
  <c r="Z52" i="5"/>
  <c r="Y77" i="5" l="1"/>
  <c r="Z46" i="5"/>
  <c r="Z41" i="5"/>
  <c r="Z44" i="5"/>
  <c r="Z45" i="5"/>
  <c r="Z75" i="5"/>
  <c r="AA42" i="5"/>
  <c r="AA36" i="5"/>
  <c r="Y56" i="5"/>
  <c r="Y68" i="5"/>
  <c r="Y55" i="5"/>
  <c r="X54" i="5"/>
  <c r="X58" i="5" s="1"/>
  <c r="X57" i="5"/>
  <c r="X40" i="5"/>
  <c r="X29" i="5"/>
  <c r="X53" i="5"/>
  <c r="X52" i="5"/>
  <c r="Z68" i="5" l="1"/>
  <c r="Z56" i="5"/>
  <c r="Z55" i="5"/>
  <c r="Y70" i="5"/>
  <c r="Y71" i="5" s="1"/>
  <c r="Y73" i="5" s="1"/>
  <c r="Y76" i="5"/>
  <c r="X75" i="5"/>
  <c r="X46" i="5"/>
  <c r="X44" i="5"/>
  <c r="X45" i="5"/>
  <c r="X41" i="5"/>
  <c r="Y63" i="5"/>
  <c r="Y64" i="5" s="1"/>
  <c r="Y69" i="5"/>
  <c r="AA54" i="5"/>
  <c r="AA58" i="5" s="1"/>
  <c r="AA57" i="5"/>
  <c r="AA40" i="5"/>
  <c r="AA53" i="5"/>
  <c r="AA29" i="5"/>
  <c r="AA52" i="5"/>
  <c r="Z77" i="5"/>
  <c r="Z63" i="5" l="1"/>
  <c r="Z64" i="5" s="1"/>
  <c r="Z69" i="5"/>
  <c r="X68" i="5"/>
  <c r="X56" i="5"/>
  <c r="X55" i="5"/>
  <c r="X77" i="5"/>
  <c r="Y74" i="5"/>
  <c r="Y78" i="5"/>
  <c r="Y60" i="5"/>
  <c r="AA75" i="5"/>
  <c r="AA44" i="5"/>
  <c r="AA41" i="5"/>
  <c r="AA46" i="5"/>
  <c r="AA45" i="5"/>
  <c r="Z70" i="5"/>
  <c r="Z71" i="5" s="1"/>
  <c r="Z73" i="5" s="1"/>
  <c r="Z76" i="5"/>
  <c r="AA56" i="5" l="1"/>
  <c r="AA68" i="5"/>
  <c r="AA55" i="5"/>
  <c r="X70" i="5"/>
  <c r="X71" i="5" s="1"/>
  <c r="X73" i="5" s="1"/>
  <c r="X76" i="5"/>
  <c r="X63" i="5"/>
  <c r="X64" i="5" s="1"/>
  <c r="X69" i="5"/>
  <c r="Z78" i="5"/>
  <c r="Z74" i="5"/>
  <c r="Z60" i="5"/>
  <c r="AA77" i="5"/>
  <c r="X74" i="5" l="1"/>
  <c r="X78" i="5"/>
  <c r="X60" i="5"/>
  <c r="AA63" i="5"/>
  <c r="AA64" i="5" s="1"/>
  <c r="AA69" i="5"/>
  <c r="AA70" i="5"/>
  <c r="AA71" i="5" s="1"/>
  <c r="AA73" i="5" s="1"/>
  <c r="AA76" i="5"/>
  <c r="AA78" i="5" l="1"/>
  <c r="AA74" i="5"/>
  <c r="AA60" i="5"/>
  <c r="S70" i="5" l="1"/>
  <c r="S71" i="5"/>
  <c r="S56" i="5" s="1"/>
  <c r="S73" i="5"/>
  <c r="S66" i="5"/>
  <c r="S67" i="5" s="1"/>
  <c r="S69" i="5" s="1"/>
  <c r="T66" i="5"/>
  <c r="T67" i="5" s="1"/>
  <c r="T69" i="5" s="1"/>
  <c r="T71" i="5"/>
  <c r="T73" i="5" l="1"/>
  <c r="T56" i="5"/>
  <c r="T70" i="5"/>
  <c r="T17" i="5" a="1"/>
  <c r="T17" i="5" l="1"/>
  <c r="T33" i="5"/>
  <c r="T58" i="5"/>
  <c r="S17" i="5" a="1"/>
  <c r="S17" i="5" l="1"/>
  <c r="T18" i="5"/>
  <c r="T19" i="5" s="1"/>
  <c r="T28" i="5" s="1"/>
  <c r="S33" i="5"/>
  <c r="S58" i="5" l="1"/>
  <c r="S18" i="5"/>
  <c r="S19" i="5" s="1"/>
  <c r="S28" i="5" s="1"/>
  <c r="T30" i="5"/>
  <c r="S30" i="5"/>
  <c r="T22" i="5" a="1"/>
  <c r="T22" i="5" l="1"/>
  <c r="T34" i="5"/>
  <c r="S22" i="5" a="1"/>
  <c r="S22" i="5" l="1"/>
  <c r="T61" i="5"/>
  <c r="T35" i="5"/>
  <c r="T32" i="5" s="1"/>
  <c r="T23" i="5"/>
  <c r="T24" i="5" s="1"/>
  <c r="T29" i="5" s="1"/>
  <c r="S34" i="5"/>
  <c r="S35" i="5" l="1"/>
  <c r="S32" i="5" s="1"/>
  <c r="S61" i="5"/>
  <c r="T50" i="5"/>
  <c r="T54" i="5" s="1"/>
  <c r="T31" i="5"/>
  <c r="T45" i="5" s="1"/>
  <c r="T53" i="5"/>
  <c r="T36" i="5"/>
  <c r="T42" i="5" s="1"/>
  <c r="S23" i="5"/>
  <c r="S24" i="5" s="1"/>
  <c r="S29" i="5" s="1"/>
  <c r="S31" i="5" l="1"/>
  <c r="S45" i="5" s="1"/>
  <c r="S36" i="5"/>
  <c r="S42" i="5" s="1"/>
  <c r="S53" i="5"/>
  <c r="S50" i="5"/>
  <c r="S54" i="5" s="1"/>
  <c r="T48" i="5"/>
  <c r="T41" i="5" s="1"/>
  <c r="T51" i="5"/>
  <c r="T52" i="5"/>
  <c r="T49" i="5"/>
  <c r="T40" i="5" s="1"/>
  <c r="T59" i="5" l="1"/>
  <c r="T60" i="5" s="1"/>
  <c r="T65" i="5"/>
  <c r="S51" i="5"/>
  <c r="S48" i="5"/>
  <c r="S41" i="5" s="1"/>
  <c r="S49" i="5"/>
  <c r="S40" i="5" s="1"/>
  <c r="S52" i="5"/>
  <c r="S59" i="5" l="1"/>
  <c r="S60" i="5" s="1"/>
  <c r="S65" i="5"/>
  <c r="M28" i="52"/>
  <c r="M30" i="52" s="1"/>
  <c r="M41" i="52"/>
  <c r="M60" i="52" s="1"/>
  <c r="M61" i="52" s="1"/>
  <c r="M44" i="52"/>
  <c r="M15" i="52" a="1"/>
  <c r="M15" i="52" l="1"/>
  <c r="M50" i="52"/>
  <c r="M52" i="52" s="1"/>
  <c r="M57" i="52"/>
  <c r="M72" i="52" l="1"/>
  <c r="M51" i="52"/>
  <c r="M73" i="52"/>
  <c r="M74" i="52"/>
  <c r="M70" i="52"/>
  <c r="M75" i="52"/>
  <c r="M71" i="52"/>
  <c r="M40" i="53" l="1"/>
  <c r="K40" i="53" l="1"/>
  <c r="L18" i="53"/>
  <c r="L40" i="53" l="1"/>
  <c r="J40" i="53"/>
  <c r="N40" i="53"/>
  <c r="R5" i="53" l="1" a="1"/>
  <c r="R5" i="53"/>
  <c r="W5" i="53"/>
  <c r="X5" i="53"/>
  <c r="Y5" i="53"/>
  <c r="Z5" i="53"/>
  <c r="W6" i="53"/>
  <c r="X6" i="53"/>
  <c r="Y6" i="53"/>
  <c r="Z6" i="53"/>
  <c r="W7" i="53"/>
  <c r="X7" i="53"/>
  <c r="Y7" i="53"/>
  <c r="Z7" i="53"/>
  <c r="W8" i="53"/>
  <c r="X8" i="53"/>
  <c r="Y8" i="53"/>
  <c r="Z8" i="53"/>
  <c r="W9" i="53"/>
  <c r="X9" i="53"/>
  <c r="Y9" i="53"/>
  <c r="Z9" i="53"/>
  <c r="W10" i="53"/>
  <c r="X10" i="53"/>
  <c r="Y10" i="53"/>
  <c r="Z10" i="53"/>
  <c r="W11" i="53"/>
  <c r="X11" i="53"/>
  <c r="Y11" i="53"/>
  <c r="Z11" i="53"/>
  <c r="R12" i="53"/>
  <c r="S12" i="53"/>
  <c r="T12" i="53"/>
  <c r="U12" i="53"/>
  <c r="W12" i="53"/>
  <c r="X12" i="53"/>
  <c r="Y12" i="53"/>
  <c r="Z12" i="53"/>
  <c r="R13" i="53"/>
  <c r="S13" i="53"/>
  <c r="T13" i="53"/>
  <c r="U13" i="53"/>
  <c r="W13" i="53"/>
  <c r="X13" i="53"/>
  <c r="Y13" i="53"/>
  <c r="Z13" i="53"/>
  <c r="L21" i="53"/>
  <c r="L22" i="53"/>
  <c r="L23" i="53"/>
  <c r="L24" i="53"/>
  <c r="L25" i="53"/>
  <c r="C41" i="53"/>
  <c r="D41" i="53"/>
  <c r="E41" i="53"/>
  <c r="F41" i="53"/>
  <c r="G41" i="53"/>
  <c r="H41" i="53"/>
  <c r="I41" i="53"/>
  <c r="J41" i="53"/>
  <c r="K41" i="53"/>
  <c r="L41" i="53"/>
  <c r="M41" i="53"/>
  <c r="N41" i="53"/>
  <c r="C42" i="53"/>
  <c r="D42" i="53"/>
  <c r="E42" i="53"/>
  <c r="F42" i="53"/>
  <c r="G42" i="53"/>
  <c r="H42" i="53"/>
  <c r="I42" i="53"/>
  <c r="J42" i="53"/>
  <c r="K42" i="53"/>
  <c r="L42" i="53"/>
  <c r="M42" i="53"/>
  <c r="N42" i="53"/>
  <c r="C43" i="53"/>
  <c r="D43" i="53"/>
  <c r="E43" i="53"/>
  <c r="F43" i="53"/>
  <c r="G43" i="53"/>
  <c r="H43" i="53"/>
  <c r="I43" i="53"/>
  <c r="J43" i="53"/>
  <c r="K43" i="53"/>
  <c r="L43" i="53"/>
  <c r="M43" i="53"/>
  <c r="N43" i="53"/>
  <c r="H44" i="53"/>
  <c r="I44" i="53"/>
  <c r="H45" i="5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tc={058F9A19-E061-4084-9875-4FC537AC06FC}</author>
    <author>tc={ACE3B61D-522F-451E-A971-769A199F0412}</author>
    <author>tc={B11659F1-44AD-4A43-842E-C8E9E813F3FB}</author>
    <author>tc={FC5F4585-1835-4B31-8196-4342D3CAB6DD}</author>
    <author>tc={39F80DC1-AA96-471D-8706-FC3C8DCB35A8}</author>
    <author>tc={934FA245-3006-400D-9BE4-5710D532735E}</author>
  </authors>
  <commentList>
    <comment ref="G3" authorId="0" shapeId="0" xr:uid="{058F9A19-E061-4084-9875-4FC537AC06FC}">
      <text>
        <t>[Threaded comment]
Your version of Excel allows you to read this threaded comment; however, any edits to it will get removed if the file is opened in a newer version of Excel. Learn more: https://go.microsoft.com/fwlink/?linkid=870924
Comment:
    % of gross head...</t>
      </text>
    </comment>
    <comment ref="E37" authorId="1" shapeId="0" xr:uid="{ACE3B61D-522F-451E-A971-769A199F0412}">
      <text>
        <t>[Threaded comment]
Your version of Excel allows you to read this threaded comment; however, any edits to it will get removed if the file is opened in a newer version of Excel. Learn more: https://go.microsoft.com/fwlink/?linkid=870924
Comment:
    Head loss can be estimated for other fows based on Hl = kQ^2</t>
      </text>
    </comment>
    <comment ref="C40" authorId="2" shapeId="0" xr:uid="{B11659F1-44AD-4A43-842E-C8E9E813F3FB}">
      <text>
        <t xml:space="preserve">[Threaded comment]
Your version of Excel allows you to read this threaded comment; however, any edits to it will get removed if the file is opened in a newer version of Excel. Learn more: https://go.microsoft.com/fwlink/?linkid=870924
Comment:
    The flows are set by the initial live volume
</t>
      </text>
    </comment>
    <comment ref="I40" authorId="3" shapeId="0" xr:uid="{FC5F4585-1835-4B31-8196-4342D3CAB6DD}">
      <text>
        <t xml:space="preserve">[Threaded comment]
Your version of Excel allows you to read this threaded comment; however, any edits to it will get removed if the file is opened in a newer version of Excel. Learn more: https://go.microsoft.com/fwlink/?linkid=870924
Comment:
    The flows are set by the initial live volume
</t>
      </text>
    </comment>
    <comment ref="K40" authorId="4" shapeId="0" xr:uid="{39F80DC1-AA96-471D-8706-FC3C8DCB35A8}">
      <text>
        <t xml:space="preserve">[Threaded comment]
Your version of Excel allows you to read this threaded comment; however, any edits to it will get removed if the file is opened in a newer version of Excel. Learn more: https://go.microsoft.com/fwlink/?linkid=870924
Comment:
    The flows are set by the initial live volume
</t>
      </text>
    </comment>
    <comment ref="H45" authorId="5" shapeId="0" xr:uid="{934FA245-3006-400D-9BE4-5710D532735E}">
      <text>
        <t>[Threaded comment]
Your version of Excel allows you to read this threaded comment; however, any edits to it will get removed if the file is opened in a newer version of Excel. Learn more: https://go.microsoft.com/fwlink/?linkid=870924
Comment:
    Based on calculated relationship</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tc={62131A8C-EEEA-4047-86B4-07A0E9DEE0AD}</author>
    <author>tc={EAF14093-054E-4291-886C-35DE0D13E1AE}</author>
  </authors>
  <commentList>
    <comment ref="D57" authorId="0" shapeId="0" xr:uid="{62131A8C-EEEA-4047-86B4-07A0E9DEE0AD}">
      <text>
        <t>[Threaded comment]
Your version of Excel allows you to read this threaded comment; however, any edits to it will get removed if the file is opened in a newer version of Excel. Learn more: https://go.microsoft.com/fwlink/?linkid=870924
Comment:
    Turbine setting (m) below min tailwater</t>
      </text>
    </comment>
    <comment ref="D73" authorId="1" shapeId="0" xr:uid="{EAF14093-054E-4291-886C-35DE0D13E1AE}">
      <text>
        <t>[Threaded comment]
Your version of Excel allows you to read this threaded comment; however, any edits to it will get removed if the file is opened in a newer version of Excel. Learn more: https://go.microsoft.com/fwlink/?linkid=870924
Comment:
    Outage rate %, unplanned and planned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<sst xmlns="http://schemas.openxmlformats.org/spreadsheetml/2006/main" count="759" uniqueCount="313">
  <si>
    <t>Power</t>
  </si>
  <si>
    <t>Hl</t>
  </si>
  <si>
    <t>Avg Head</t>
  </si>
  <si>
    <t>Units</t>
  </si>
  <si>
    <t>Upper Storage</t>
  </si>
  <si>
    <t>UFSL</t>
  </si>
  <si>
    <t>mAHD</t>
  </si>
  <si>
    <t>UMOL</t>
  </si>
  <si>
    <t>Total Volume</t>
  </si>
  <si>
    <t>m³</t>
  </si>
  <si>
    <t>MOL Vol</t>
  </si>
  <si>
    <t>Live Volume</t>
  </si>
  <si>
    <t>Lower Storage</t>
  </si>
  <si>
    <t>LFSL</t>
  </si>
  <si>
    <t>LMOL</t>
  </si>
  <si>
    <t>Generation parameters</t>
  </si>
  <si>
    <t>Rated Power</t>
  </si>
  <si>
    <t>MW</t>
  </si>
  <si>
    <t>Hours of Gen</t>
  </si>
  <si>
    <t>hrs</t>
  </si>
  <si>
    <t>Max Gross Head</t>
  </si>
  <si>
    <t>m</t>
  </si>
  <si>
    <t>Min Gross Head</t>
  </si>
  <si>
    <t>Avg Gross Head</t>
  </si>
  <si>
    <t>Rated Gross Head</t>
  </si>
  <si>
    <t>Rated Flow rate - Generation</t>
  </si>
  <si>
    <t>m³/s</t>
  </si>
  <si>
    <t>Rated Net Head  - Generation</t>
  </si>
  <si>
    <t>Max flow rate</t>
  </si>
  <si>
    <t>Flow at Max head</t>
  </si>
  <si>
    <t>Flow at Min Head</t>
  </si>
  <si>
    <t>Head loss (gen)</t>
  </si>
  <si>
    <t>k Factor</t>
  </si>
  <si>
    <t>k</t>
  </si>
  <si>
    <t>Head loss (pump)</t>
  </si>
  <si>
    <t>Ht net max</t>
  </si>
  <si>
    <t>Ht net min</t>
  </si>
  <si>
    <t>Ht net rated</t>
  </si>
  <si>
    <t>Hp net max</t>
  </si>
  <si>
    <t>Hp net min</t>
  </si>
  <si>
    <t>Hp net Rated</t>
  </si>
  <si>
    <t>Fixed turbine mode efficiency</t>
  </si>
  <si>
    <t>%</t>
  </si>
  <si>
    <t>RTE Round trip efficiency</t>
  </si>
  <si>
    <t>Turbine centreline elevation</t>
  </si>
  <si>
    <t>Allowable ratio</t>
  </si>
  <si>
    <t>Min to max head ratio</t>
  </si>
  <si>
    <t>CHECK:</t>
  </si>
  <si>
    <t>Head Range</t>
  </si>
  <si>
    <t>Pumping parameters</t>
  </si>
  <si>
    <t>Flow rate Pumping</t>
  </si>
  <si>
    <t>Rated Net Head  - Pumping</t>
  </si>
  <si>
    <t>Fixed pump mode efficiency</t>
  </si>
  <si>
    <t>Hours - Pump</t>
  </si>
  <si>
    <t>hours</t>
  </si>
  <si>
    <t>Pump flow (max head) for spilling</t>
  </si>
  <si>
    <t>Shoulder period</t>
  </si>
  <si>
    <t>Total cycle time</t>
  </si>
  <si>
    <t>Energy generated/absorbed</t>
  </si>
  <si>
    <t>Days for cycle</t>
  </si>
  <si>
    <t>Energy generated per cycle</t>
  </si>
  <si>
    <t>MWh</t>
  </si>
  <si>
    <t>Energy consumed per cycle</t>
  </si>
  <si>
    <t>Outage Rate</t>
  </si>
  <si>
    <t>Annual generation energy</t>
  </si>
  <si>
    <t>Annual pumping energy</t>
  </si>
  <si>
    <t>-</t>
  </si>
  <si>
    <t>Flow</t>
  </si>
  <si>
    <t>Depth</t>
  </si>
  <si>
    <t>Volume</t>
  </si>
  <si>
    <t>Area</t>
  </si>
  <si>
    <t>Total</t>
  </si>
  <si>
    <t>FSL</t>
  </si>
  <si>
    <t>P</t>
  </si>
  <si>
    <t>Q</t>
  </si>
  <si>
    <t>V</t>
  </si>
  <si>
    <t>MOL</t>
  </si>
  <si>
    <t>Tunnel Vol</t>
  </si>
  <si>
    <t>OBJECTID *</t>
  </si>
  <si>
    <t>Tunnel</t>
  </si>
  <si>
    <t>Dataset</t>
  </si>
  <si>
    <t>Reference</t>
  </si>
  <si>
    <t>Z_Factor</t>
  </si>
  <si>
    <t>Area_2D</t>
  </si>
  <si>
    <t>Area_3D</t>
  </si>
  <si>
    <t>OID *</t>
  </si>
  <si>
    <t>Shape *</t>
  </si>
  <si>
    <t>SArea</t>
  </si>
  <si>
    <t>Shape_Length</t>
  </si>
  <si>
    <t>Shape_Area</t>
  </si>
  <si>
    <t xml:space="preserve"> BELOW</t>
  </si>
  <si>
    <t>Polygon</t>
  </si>
  <si>
    <t>Dam Cost</t>
  </si>
  <si>
    <t>Excav</t>
  </si>
  <si>
    <t>Dia</t>
  </si>
  <si>
    <t>Hmax</t>
  </si>
  <si>
    <t>Hmin</t>
  </si>
  <si>
    <t>Head</t>
  </si>
  <si>
    <t>Vol</t>
  </si>
  <si>
    <t>Elevation</t>
  </si>
  <si>
    <t>Total with Indirect</t>
  </si>
  <si>
    <t>Lower Dam</t>
  </si>
  <si>
    <t>2 WW dia</t>
  </si>
  <si>
    <t>Tunnel OD</t>
  </si>
  <si>
    <t>Tunnel Dia</t>
  </si>
  <si>
    <t>Dam Vol</t>
  </si>
  <si>
    <t>Head range</t>
  </si>
  <si>
    <t>Penstocks</t>
  </si>
  <si>
    <t>Tunnel dia</t>
  </si>
  <si>
    <t>Hn rated</t>
  </si>
  <si>
    <t>Live Vol</t>
  </si>
  <si>
    <t>UMOL VOL</t>
  </si>
  <si>
    <t>UFSL VOL</t>
  </si>
  <si>
    <t>Range</t>
  </si>
  <si>
    <t>Havg</t>
  </si>
  <si>
    <t>UDAM Crest</t>
  </si>
  <si>
    <t>Opt ID</t>
  </si>
  <si>
    <t>Highbury</t>
  </si>
  <si>
    <t>..\Highbury\GIS\TINS\LRes_100_r2</t>
  </si>
  <si>
    <t>Cumulative</t>
  </si>
  <si>
    <t>Excav Vol</t>
  </si>
  <si>
    <t>El</t>
  </si>
  <si>
    <t>Excavation</t>
  </si>
  <si>
    <t>F_305 m EL, 
196 MW</t>
  </si>
  <si>
    <t>Opt</t>
  </si>
  <si>
    <t>Upper Res</t>
  </si>
  <si>
    <t>Total Res Volume</t>
  </si>
  <si>
    <t>Lower DAM</t>
  </si>
  <si>
    <t>140 m Crest</t>
  </si>
  <si>
    <t>RTE (Inverse)</t>
  </si>
  <si>
    <t>LR Exacv</t>
  </si>
  <si>
    <t>Reservoir Volume</t>
  </si>
  <si>
    <t>Crest Elevation</t>
  </si>
  <si>
    <t>Rockfill Volume</t>
  </si>
  <si>
    <t>Hours</t>
  </si>
  <si>
    <t>Head loss (gen, 1 unit)</t>
  </si>
  <si>
    <t>Head loss (pump, 1 unit)</t>
  </si>
  <si>
    <t>Code</t>
  </si>
  <si>
    <t>UDAM r1</t>
  </si>
  <si>
    <t>Pre head</t>
  </si>
  <si>
    <t>iterate to find</t>
  </si>
  <si>
    <t>Input</t>
  </si>
  <si>
    <t>Surplus Upper</t>
  </si>
  <si>
    <t>Surplus Lower</t>
  </si>
  <si>
    <t>Fixed?</t>
  </si>
  <si>
    <t>Live</t>
  </si>
  <si>
    <t>Calc</t>
  </si>
  <si>
    <t>Iterate</t>
  </si>
  <si>
    <t>FSl vol</t>
  </si>
  <si>
    <t>MOL vol</t>
  </si>
  <si>
    <t>Calc power (given hrs and Live)</t>
  </si>
  <si>
    <t>Calc live (given power, hours)</t>
  </si>
  <si>
    <t>Calc hours (given live and Power)</t>
  </si>
  <si>
    <t xml:space="preserve">Input hours and live
Calculate gen flows
Fix  one of [FSL, MOL, FSL vol, or MOL Vol]
Calc gross head
Calc remaining 3 of [FSL, MOL, FSL vol, or MOL Vol]
</t>
  </si>
  <si>
    <t xml:space="preserve">Input power and live
Fix  one of [FSL, MOL, FSL vol, or MOL Vol]
Calc remaining 3 of [FSL, MOL, FSL vol, or MOL Vol]
Calc gross head
Calculate gen flows
Calculate hours
</t>
  </si>
  <si>
    <t>Input power and hours
Fix  one of [FSL, MOL, FSL vol, or MOL Vol] , Set another one of 3 parameters to trial value
Calc remaining 2 of [FSL, MOL, FSL vol, or MOL Vol]
Calc gross head and flows (for power)
Calc required live, live in reservoirs, and difference
If difference is not 0, then adjust the trial value, reiterate
Calculate gen flows
Calculate hours</t>
  </si>
  <si>
    <t>Excav -- Live</t>
  </si>
  <si>
    <t>Live - upper</t>
  </si>
  <si>
    <t>Calc power (given hrs )</t>
  </si>
  <si>
    <t>Upper FSL</t>
  </si>
  <si>
    <t>Upper MOL</t>
  </si>
  <si>
    <t>Lower FSL</t>
  </si>
  <si>
    <t>Lower MOL</t>
  </si>
  <si>
    <t>Res Governing</t>
  </si>
  <si>
    <t>Live Volume Upper</t>
  </si>
  <si>
    <t>Live Volume Lower</t>
  </si>
  <si>
    <t>Upper</t>
  </si>
  <si>
    <t>Lower</t>
  </si>
  <si>
    <t>Governing Volume</t>
  </si>
  <si>
    <t>Head loss pump (prelim)</t>
  </si>
  <si>
    <t>Head loss gen (prelim)</t>
  </si>
  <si>
    <t>Fixed</t>
  </si>
  <si>
    <t>Allowable</t>
  </si>
  <si>
    <t>Check</t>
  </si>
  <si>
    <t>Volume for head range</t>
  </si>
  <si>
    <t>Turbine Flow at max head</t>
  </si>
  <si>
    <t>Turbine Flow at min Head</t>
  </si>
  <si>
    <t>Turbine Flow at rated head</t>
  </si>
  <si>
    <t>Pump Flow at max head</t>
  </si>
  <si>
    <t>Pump Flow at rated head</t>
  </si>
  <si>
    <t>Total Res Volume with excav</t>
  </si>
  <si>
    <t>Live Volume Upper with Excavation</t>
  </si>
  <si>
    <t>Given</t>
  </si>
  <si>
    <t>Live Volume Master</t>
  </si>
  <si>
    <t>Min of upper/lower Live Volume</t>
  </si>
  <si>
    <t>Power Goal</t>
  </si>
  <si>
    <t>Volumes</t>
  </si>
  <si>
    <t>Calculated Rated Power</t>
  </si>
  <si>
    <t>Avg head</t>
  </si>
  <si>
    <t>NET Head</t>
  </si>
  <si>
    <t>Rated gen flow from live</t>
  </si>
  <si>
    <t>Rated head - pumping</t>
  </si>
  <si>
    <t>Rated head - generation</t>
  </si>
  <si>
    <t>Rated pump flow</t>
  </si>
  <si>
    <t>Delta</t>
  </si>
  <si>
    <t>SOLVE</t>
  </si>
  <si>
    <t>Livve volume for solve power</t>
  </si>
  <si>
    <t>Required flow for power goal</t>
  </si>
  <si>
    <t>UPPER</t>
  </si>
  <si>
    <t>LOWER</t>
  </si>
  <si>
    <t>Parameter</t>
  </si>
  <si>
    <t>FSL Vol</t>
  </si>
  <si>
    <t>EL m</t>
  </si>
  <si>
    <t>GL</t>
  </si>
  <si>
    <t>Rating Point</t>
  </si>
  <si>
    <t>Head loss ini</t>
  </si>
  <si>
    <t>Round Trip Efficiency</t>
  </si>
  <si>
    <t>Pump</t>
  </si>
  <si>
    <t>m3</t>
  </si>
  <si>
    <t>Hour of generation</t>
  </si>
  <si>
    <t>Gravity</t>
  </si>
  <si>
    <t>UR</t>
  </si>
  <si>
    <t>LR</t>
  </si>
  <si>
    <t>Hpmax/Ht min</t>
  </si>
  <si>
    <t>LIVE Vol:</t>
  </si>
  <si>
    <t>Power:</t>
  </si>
  <si>
    <t>Turbine</t>
  </si>
  <si>
    <t>Rated</t>
  </si>
  <si>
    <t>Maximum</t>
  </si>
  <si>
    <t>Minimum</t>
  </si>
  <si>
    <t>Average</t>
  </si>
  <si>
    <t>Q_gen</t>
  </si>
  <si>
    <t>Q_pump</t>
  </si>
  <si>
    <t>UR_Elev</t>
  </si>
  <si>
    <t>LR_Elev</t>
  </si>
  <si>
    <t>Hg</t>
  </si>
  <si>
    <t>Hl_gen</t>
  </si>
  <si>
    <t>Hl_pump</t>
  </si>
  <si>
    <t>Htu</t>
  </si>
  <si>
    <t>Hpu</t>
  </si>
  <si>
    <t>Live volume with excavation</t>
  </si>
  <si>
    <t>Alloawable</t>
  </si>
  <si>
    <t>Hmax/Hmin</t>
  </si>
  <si>
    <t xml:space="preserve">Check </t>
  </si>
  <si>
    <t>Use excavation</t>
  </si>
  <si>
    <t>Fixed speed</t>
  </si>
  <si>
    <t>Solve power</t>
  </si>
  <si>
    <t>u_fsl</t>
  </si>
  <si>
    <t>u_mol</t>
  </si>
  <si>
    <t>l_fsl</t>
  </si>
  <si>
    <t>l_mol</t>
  </si>
  <si>
    <t>Coeff for allowable hours</t>
  </si>
  <si>
    <t>LV</t>
  </si>
  <si>
    <t>GOV</t>
  </si>
  <si>
    <t>Case</t>
  </si>
  <si>
    <t>Both water levels for gov_res re set by user, calculate parameters for non_governing_res</t>
  </si>
  <si>
    <t>FixSp</t>
  </si>
  <si>
    <t>MIN LV</t>
  </si>
  <si>
    <t>Both water levels set by user, include excav if input</t>
  </si>
  <si>
    <t>With at least 1 waterway parameter, solve power by iterating to balance the LV. If 2 water levels are given for a res, then that is independent so solve only for non-indep reservoir. Use excav if given</t>
  </si>
  <si>
    <t>With at least 1 waterway parameter, solve power by iterating to balance the LV. 
Record the head_range and stop if exceeds limit
If 2 water levels are given for a res, then that is independent so solve only for non-indep reservoir. 
Use excav if given</t>
  </si>
  <si>
    <t>Power LV</t>
  </si>
  <si>
    <t>HR LV</t>
  </si>
  <si>
    <t>Min (Power LV, HR_LV)</t>
  </si>
  <si>
    <t>HR</t>
  </si>
  <si>
    <t>ID</t>
  </si>
  <si>
    <t>LR WL set, calculate parameters for LR</t>
  </si>
  <si>
    <t>UR WL, set calculate parameters for LR</t>
  </si>
  <si>
    <t>Both water levels set by user (both res independent), include excav if input</t>
  </si>
  <si>
    <t>Solve for power by iterating/balancing the LV in UR and LR</t>
  </si>
  <si>
    <t>Solve for power by iterating/balancing the LV in UR . 
If LR is too small (less than UR LV), then that sets the max power, and message user</t>
  </si>
  <si>
    <t>Solve for power by iterating/balancing the LV in LR . 
If UR is too small (less than UR LV), then that sets the max power, and message user</t>
  </si>
  <si>
    <t>Solve for Head range by iterating/balancing the LV in UR and LR</t>
  </si>
  <si>
    <t>Solve for Head range by iterating/balancing the LV in UR . 
If LR is too small (less than UR LV), then that sets the max power, and message user</t>
  </si>
  <si>
    <t>Solve for Head range by iterating/balancing the LV in LR . 
If UR is too small (less than UR LV), then that sets the max power, and message user</t>
  </si>
  <si>
    <t>Solve for power by iterating/balancing the LV in UR and LR. 
If the Head range is exceeded, stop, that sets max power, message user</t>
  </si>
  <si>
    <t>Solve for power by iterating/balancing the LV in UR. 
If the Head range is exceeded, stop, thats set max power, message user. 
If LR is too small (less than UR LV), then that sets the max power, and message user</t>
  </si>
  <si>
    <t>Solve for power by iterating/balancing the LV in LR. 
If the Head range is exceeded, stop, thats set max power, message user. 
If LR is too small (less than UR LV), then that sets the max power, and message user</t>
  </si>
  <si>
    <t>DESC</t>
  </si>
  <si>
    <t>Total WL</t>
  </si>
  <si>
    <t>Power goal</t>
  </si>
  <si>
    <t>u_fsl_hr = range_limit * (u_mol - l_fsl)</t>
  </si>
  <si>
    <t>u_mol_hr = (u_fsl - l_mol) / range_limit + l_fsl</t>
  </si>
  <si>
    <t>l_fsl_hr = u_mol + (u_fsl - l_mol) / range_limit</t>
  </si>
  <si>
    <t>u_fsl = 1.25 * (u_mol - l_fsl) + l_mol</t>
  </si>
  <si>
    <t>u_mol = (u_fsl - l_mol) / 1.25 + l_fsl</t>
  </si>
  <si>
    <t>l_mol = u_fsl - 1.25 * (u_mol - l_fsl)</t>
  </si>
  <si>
    <t>h</t>
  </si>
  <si>
    <t>u_fsl - l_mol = 1.25 * (u_mol - l_fsl)</t>
  </si>
  <si>
    <t>l_mol_hr = u_fsl + (u_mol - l_fsl) * range_limit</t>
  </si>
  <si>
    <t>Average head</t>
  </si>
  <si>
    <t>Minimum head</t>
  </si>
  <si>
    <t>Excavation Depth</t>
  </si>
  <si>
    <t>Power check</t>
  </si>
  <si>
    <t>Q_gen_i</t>
  </si>
  <si>
    <t>Q_pump_i</t>
  </si>
  <si>
    <t>Efficencies</t>
  </si>
  <si>
    <t>Input water levels</t>
  </si>
  <si>
    <t>Governing volume</t>
  </si>
  <si>
    <t>Initialise (set to 1) =</t>
  </si>
  <si>
    <t>delta q gen</t>
  </si>
  <si>
    <t>delta q pump</t>
  </si>
  <si>
    <t>not using these rows</t>
  </si>
  <si>
    <t>Full supply level</t>
  </si>
  <si>
    <t>Minimum operating level</t>
  </si>
  <si>
    <t>Pump turbine efficiency</t>
  </si>
  <si>
    <t>Head Loss (friction)</t>
  </si>
  <si>
    <t>This section is a manual calc to back check the code…. This is iterative and requires circular refs to be calculated.</t>
  </si>
  <si>
    <t>This is just a back check to the logic table…</t>
  </si>
  <si>
    <t>Global inputs:</t>
  </si>
  <si>
    <t>Flows are initially calculated (in C and D columns), then recalculated when actual head losses are determined (columes K, L). If there is a difference, then adjust the head guess, and calc again till it converges</t>
  </si>
  <si>
    <t>From EXCEL</t>
  </si>
  <si>
    <t>FROM CODE</t>
  </si>
  <si>
    <t>Water levels</t>
  </si>
  <si>
    <t>This is the outputs from the excel</t>
  </si>
  <si>
    <t>This is the outputs from the code to compare</t>
  </si>
  <si>
    <t>RESULTS</t>
  </si>
  <si>
    <t>Head loss coefficient</t>
  </si>
  <si>
    <t>These get pasted here:</t>
  </si>
  <si>
    <t>Code inputs:</t>
  </si>
  <si>
    <t>Water levels:</t>
  </si>
  <si>
    <t>DELTA - for comnpariosn. (Still some minor adjustment needed for pump efficiency. I'm not sure yet if this is the code or the excel)</t>
  </si>
  <si>
    <t>Water level inputs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</si>
</sst>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4" formatCode="_-&quot;$&quot;* #,##0.00_-;\-&quot;$&quot;* #,##0.00_-;_-&quot;$&quot;* &quot;-&quot;??_-;_-@_-"/>
    <numFmt numFmtId="43" formatCode="_-* #,##0.00_-;\-* #,##0.00_-;_-* &quot;-&quot;??_-;_-@_-"/>
    <numFmt numFmtId="164" formatCode="#,##0_ ;\-#,##0\ "/>
    <numFmt numFmtId="165" formatCode="#,##0.0_ ;\-#,##0.0\ "/>
    <numFmt numFmtId="166" formatCode="#,##0.00_ ;\-#,##0.00\ "/>
    <numFmt numFmtId="167" formatCode="0.000"/>
    <numFmt numFmtId="168" formatCode="0.0%"/>
    <numFmt numFmtId="169" formatCode="#,##0.00000_ ;\-#,##0.00000\ "/>
    <numFmt numFmtId="170" formatCode="#,##0.0"/>
    <numFmt numFmtId="171" formatCode="0.0"/>
    <numFmt numFmtId="172" formatCode="#,##0.0;\-#,##0.0;\-"/>
    <numFmt numFmtId="173" formatCode="#,##0.00,,;\-#,##0;\-"/>
    <numFmt numFmtId="174" formatCode="#,##0.0,,;\-#,##0;\-"/>
    <numFmt numFmtId="175" formatCode="#,##0;\-#,##0;\-"/>
    <numFmt numFmtId="176" formatCode="#,##0.00;\-#,##0.00;\-"/>
    <numFmt numFmtId="177" formatCode="0.000000000000"/>
    <numFmt numFmtId="178" formatCode="#,##0.00,,"/>
    <numFmt numFmtId="179" formatCode="0.000%"/>
  </numFmts>
  <fonts count="62" x14ac:knownFonts="1">
    <font>
      <sz val="11"/>
      <color theme="1"/>
      <name val="Calibri"/>
      <family val="2"/>
      <scheme val="minor"/>
    </font>
    <font>
      <sz val="11"/>
      <color theme="1"/>
      <name val="Calibri"/>
      <family val="2"/>
      <scheme val="minor"/>
    </font>
    <font>
      <b/>
      <sz val="11"/>
      <color theme="1"/>
      <name val="Calibri"/>
      <family val="2"/>
      <scheme val="minor"/>
    </font>
    <font>
      <i/>
      <sz val="9"/>
      <color rgb="FF0070C0"/>
      <name val="Calibri"/>
      <family val="2"/>
      <scheme val="minor"/>
    </font>
    <font>
      <i/>
      <sz val="11"/>
      <color theme="1"/>
      <name val="Calibri"/>
      <family val="2"/>
      <scheme val="minor"/>
    </font>
    <font>
      <sz val="10"/>
      <color theme="1"/>
      <name val="Calibri"/>
      <family val="2"/>
      <scheme val="minor"/>
    </font>
    <font>
      <sz val="9"/>
      <color theme="1"/>
      <name val="Calibri"/>
      <family val="2"/>
      <scheme val="minor"/>
    </font>
    <font>
      <b/>
      <sz val="9"/>
      <color theme="1"/>
      <name val="Calibri"/>
      <family val="2"/>
      <scheme val="minor"/>
    </font>
    <font>
      <b/>
      <sz val="10"/>
      <color theme="1"/>
      <name val="Calibri"/>
      <family val="2"/>
      <scheme val="minor"/>
    </font>
    <font>
      <i/>
      <sz val="10"/>
      <color theme="0" tint="-0.34998626667073579"/>
      <name val="Calibri"/>
      <family val="2"/>
      <scheme val="minor"/>
    </font>
    <font>
      <b/>
      <sz val="10"/>
      <color theme="0"/>
      <name val="Calibri"/>
      <family val="2"/>
      <scheme val="minor"/>
    </font>
    <font>
      <i/>
      <sz val="10"/>
      <color theme="1"/>
      <name val="Calibri"/>
      <family val="2"/>
      <scheme val="minor"/>
    </font>
    <font>
      <sz val="9"/>
      <color rgb="FFC00000"/>
      <name val="Calibri"/>
      <family val="2"/>
      <scheme val="minor"/>
    </font>
    <font>
      <i/>
      <sz val="9"/>
      <color theme="0" tint="-0.499984740745262"/>
      <name val="Calibri"/>
      <family val="2"/>
      <scheme val="minor"/>
    </font>
    <font>
      <i/>
      <sz val="10"/>
      <color theme="0" tint="-0.499984740745262"/>
      <name val="Calibri"/>
      <family val="2"/>
      <scheme val="minor"/>
    </font>
    <font>
      <b/>
      <i/>
      <sz val="10"/>
      <color theme="1"/>
      <name val="Calibri"/>
      <family val="2"/>
      <scheme val="minor"/>
    </font>
    <font>
      <b/>
      <i/>
      <sz val="9"/>
      <color rgb="FF0070C0"/>
      <name val="Calibri"/>
      <family val="2"/>
      <scheme val="minor"/>
    </font>
    <font>
      <sz val="9"/>
      <name val="Calibri"/>
      <family val="2"/>
      <scheme val="minor"/>
    </font>
    <font>
      <b/>
      <sz val="9"/>
      <color theme="1" tint="0.34998626667073579"/>
      <name val="Calibri"/>
      <family val="2"/>
      <scheme val="minor"/>
    </font>
    <font>
      <i/>
      <sz val="8"/>
      <color theme="0" tint="-0.14999847407452621"/>
      <name val="Calibri"/>
      <family val="2"/>
      <scheme val="minor"/>
    </font>
    <font>
      <sz val="8"/>
      <name val="Calibri"/>
      <family val="2"/>
      <scheme val="minor"/>
    </font>
    <font>
      <sz val="8"/>
      <color theme="0"/>
      <name val="Calibri"/>
      <family val="2"/>
      <scheme val="minor"/>
    </font>
    <font>
      <i/>
      <sz val="9"/>
      <color theme="1" tint="0.499984740745262"/>
      <name val="Calibri"/>
      <family val="2"/>
      <scheme val="minor"/>
    </font>
    <font>
      <sz val="8"/>
      <color theme="1"/>
      <name val="Calibri"/>
      <family val="2"/>
      <scheme val="minor"/>
    </font>
    <font>
      <b/>
      <i/>
      <sz val="11"/>
      <color theme="4" tint="-0.249977111117893"/>
      <name val="Calibri"/>
      <family val="2"/>
      <scheme val="minor"/>
    </font>
    <font>
      <sz val="9"/>
      <name val="Helvetica"/>
    </font>
    <font>
      <sz val="10"/>
      <name val="Arial"/>
      <family val="2"/>
    </font>
    <font>
      <i/>
      <sz val="10"/>
      <color rgb="FF0070C0"/>
      <name val="Calibri"/>
      <family val="2"/>
      <scheme val="minor"/>
    </font>
    <font>
      <sz val="11"/>
      <color rgb="FFFF0000"/>
      <name val="Calibri"/>
      <family val="2"/>
      <scheme val="minor"/>
    </font>
    <font>
      <sz val="10"/>
      <color theme="1"/>
      <name val="Calibri Light"/>
      <family val="2"/>
    </font>
    <font>
      <b/>
      <sz val="10"/>
      <color theme="1"/>
      <name val="Calibri Light"/>
      <family val="2"/>
    </font>
    <font>
      <sz val="8"/>
      <color rgb="FF002060"/>
      <name val="Calibri"/>
      <family val="2"/>
      <scheme val="minor"/>
    </font>
    <font>
      <sz val="9"/>
      <color theme="0"/>
      <name val="Calibri"/>
      <family val="2"/>
      <scheme val="minor"/>
    </font>
    <font>
      <sz val="10"/>
      <color rgb="FF0070C0"/>
      <name val="Calibri"/>
      <family val="2"/>
      <scheme val="minor"/>
    </font>
    <font>
      <sz val="9"/>
      <color rgb="FF0070C0"/>
      <name val="Calibri"/>
      <family val="2"/>
      <scheme val="minor"/>
    </font>
    <font>
      <i/>
      <sz val="8"/>
      <color theme="0" tint="-0.499984740745262"/>
      <name val="Calibri"/>
      <family val="2"/>
      <scheme val="minor"/>
    </font>
    <font>
      <sz val="8"/>
      <color theme="1" tint="0.499984740745262"/>
      <name val="Calibri"/>
      <family val="2"/>
      <scheme val="minor"/>
    </font>
    <font>
      <sz val="9"/>
      <color theme="8" tint="-0.249977111117893"/>
      <name val="Calibri"/>
      <family val="2"/>
      <scheme val="minor"/>
    </font>
    <font>
      <sz val="8"/>
      <color theme="0" tint="-0.499984740745262"/>
      <name val="Calibri"/>
      <family val="2"/>
      <scheme val="minor"/>
    </font>
    <font>
      <sz val="8"/>
      <color theme="0" tint="-4.9989318521683403E-2"/>
      <name val="Calibri"/>
      <family val="2"/>
      <scheme val="minor"/>
    </font>
    <font>
      <sz val="9"/>
      <color theme="4" tint="-0.499984740745262"/>
      <name val="Calibri"/>
      <family val="2"/>
      <scheme val="minor"/>
    </font>
    <font>
      <sz val="11"/>
      <color rgb="FF000000"/>
      <name val="Calibri"/>
      <family val="2"/>
    </font>
    <font>
      <i/>
      <sz val="9"/>
      <color theme="1"/>
      <name val="Calibri"/>
      <family val="2"/>
      <scheme val="minor"/>
    </font>
    <font>
      <sz val="10"/>
      <color rgb="FF00B050"/>
      <name val="Calibri"/>
      <family val="2"/>
      <scheme val="minor"/>
    </font>
    <font>
      <sz val="9"/>
      <color rgb="FF00B050"/>
      <name val="Calibri"/>
      <family val="2"/>
      <scheme val="minor"/>
    </font>
    <font>
      <i/>
      <sz val="11"/>
      <color theme="0" tint="-0.34998626667073579"/>
      <name val="Calibri"/>
      <family val="2"/>
      <scheme val="minor"/>
    </font>
    <font>
      <sz val="11"/>
      <name val="Calibri"/>
      <family val="2"/>
      <scheme val="minor"/>
    </font>
    <font>
      <sz val="10"/>
      <color theme="0" tint="-0.34998626667073579"/>
      <name val="Calibri"/>
      <family val="2"/>
      <scheme val="minor"/>
    </font>
    <font>
      <i/>
      <sz val="10"/>
      <color theme="4" tint="-0.249977111117893"/>
      <name val="Calibri"/>
      <family val="2"/>
      <scheme val="minor"/>
    </font>
    <font>
      <i/>
      <sz val="11"/>
      <color theme="4" tint="-0.249977111117893"/>
      <name val="Calibri"/>
      <family val="2"/>
      <scheme val="minor"/>
    </font>
    <font>
      <sz val="12"/>
      <name val="Calibri"/>
      <family val="2"/>
      <scheme val="minor"/>
    </font>
    <font>
      <sz val="12"/>
      <name val="Segoe UI"/>
      <family val="2"/>
    </font>
    <font>
      <sz val="9"/>
      <color rgb="FFFF0000"/>
      <name val="Calibri"/>
      <family val="2"/>
      <scheme val="minor"/>
    </font>
    <font>
      <sz val="10"/>
      <color theme="3"/>
      <name val="Calibri Light"/>
      <family val="2"/>
      <scheme val="major"/>
    </font>
    <font>
      <i/>
      <sz val="9"/>
      <color rgb="FFFF0000"/>
      <name val="Calibri"/>
      <family val="2"/>
      <scheme val="minor"/>
    </font>
    <font>
      <b/>
      <sz val="11"/>
      <color theme="0"/>
      <name val="Calibri"/>
      <family val="2"/>
      <scheme val="minor"/>
    </font>
    <font>
      <sz val="11"/>
      <color theme="0"/>
      <name val="Calibri"/>
      <family val="2"/>
      <scheme val="minor"/>
    </font>
    <font>
      <sz val="9"/>
      <color indexed="81"/>
      <name val="Tahoma"/>
      <family val="2"/>
    </font>
    <font>
      <sz val="11"/>
      <color rgb="FF0070C0"/>
      <name val="Calibri"/>
      <family val="2"/>
      <scheme val="minor"/>
    </font>
    <font>
      <i/>
      <sz val="11"/>
      <color rgb="FF0070C0"/>
      <name val="Calibri"/>
      <family val="2"/>
      <scheme val="minor"/>
    </font>
    <font>
      <sz val="10"/>
      <color theme="1"/>
      <name val="Calibri Light"/>
      <family val="2"/>
      <scheme val="major"/>
    </font>
    <font>
      <i/>
      <sz val="10"/>
      <name val="Calibri"/>
      <family val="2"/>
      <scheme val="minor"/>
    </font>
  </fonts>
  <fills count="19">
    <fill>
      <patternFill patternType="none"/>
    </fill>
    <fill>
      <patternFill patternType="gray125"/>
    </fill>
    <fill>
      <patternFill patternType="solid">
        <fgColor rgb="FFFFC00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92D050"/>
        <bgColor indexed="64"/>
      </patternFill>
    </fill>
    <fill>
      <patternFill patternType="solid">
        <fgColor rgb="FFFF0000"/>
        <bgColor indexed="64"/>
      </patternFill>
    </fill>
    <fill>
      <patternFill patternType="solid">
        <fgColor theme="2" tint="-0.249977111117893"/>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rgb="FF0070C0"/>
        <bgColor indexed="64"/>
      </patternFill>
    </fill>
    <fill>
      <patternFill patternType="solid">
        <fgColor theme="0" tint="-4.9989318521683403E-2"/>
        <bgColor indexed="64"/>
      </patternFill>
    </fill>
    <fill>
      <patternFill patternType="solid">
        <fgColor theme="0"/>
        <bgColor indexed="64"/>
      </patternFill>
    </fill>
    <fill>
      <patternFill patternType="solid">
        <fgColor theme="5" tint="0.59999389629810485"/>
        <bgColor indexed="64"/>
      </patternFill>
    </fill>
    <fill>
      <patternFill patternType="solid">
        <fgColor theme="1" tint="0.499984740745262"/>
        <bgColor indexed="64"/>
      </patternFill>
    </fill>
  </fills>
  <borders count="16">
    <border>
      <left/>
      <right/>
      <top/>
      <bottom/>
      <diagonal/>
    </border>
    <border>
      <left style="thin">
        <color indexed="64"/>
      </left>
      <right style="thin">
        <color indexed="64"/>
      </right>
      <top/>
      <bottom/>
      <diagonal/>
    </border>
    <border>
      <left style="thin">
        <color indexed="64"/>
      </left>
      <right/>
      <top/>
      <bottom/>
      <diagonal/>
    </border>
    <border>
      <left/>
      <right/>
      <top style="thin">
        <color auto="1"/>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25" fillId="0" borderId="0"/>
    <xf numFmtId="0" fontId="26" fillId="0" borderId="0"/>
    <xf numFmtId="43" fontId="26" fillId="0" borderId="0" applyFont="0" applyFill="0" applyBorder="0" applyAlignment="0" applyProtection="0"/>
    <xf numFmtId="44" fontId="26" fillId="0" borderId="0" applyFont="0" applyFill="0" applyBorder="0" applyAlignment="0" applyProtection="0"/>
  </cellStyleXfs>
  <cellXfs count="282">
    <xf numFmtId="0" fontId="0" fillId="0" borderId="0" xfId="0"/>
    <xf numFmtId="0" fontId="3" fillId="0" borderId="1" xfId="0" applyFont="1" applyBorder="1" applyAlignment="1">
      <alignment horizontal="center"/>
    </xf>
    <xf numFmtId="0" fontId="4" fillId="0" borderId="0" xfId="0" applyFont="1"/>
    <xf numFmtId="164" fontId="6" fillId="0" borderId="2" xfId="1" applyNumberFormat="1" applyFont="1" applyBorder="1" applyAlignment="1">
      <alignment horizontal="center" vertical="center"/>
    </xf>
    <xf numFmtId="165" fontId="6" fillId="0" borderId="2" xfId="1" applyNumberFormat="1" applyFont="1" applyBorder="1" applyAlignment="1">
      <alignment horizontal="center" vertical="center"/>
    </xf>
    <xf numFmtId="0" fontId="5" fillId="0" borderId="0" xfId="0" applyFont="1" applyAlignment="1">
      <alignment horizontal="right"/>
    </xf>
    <xf numFmtId="0" fontId="9" fillId="0" borderId="0" xfId="0" applyFont="1" applyAlignment="1">
      <alignment horizontal="right"/>
    </xf>
    <xf numFmtId="0" fontId="11" fillId="0" borderId="0" xfId="0" applyFont="1" applyAlignment="1">
      <alignment horizontal="center" vertical="center"/>
    </xf>
    <xf numFmtId="0" fontId="8" fillId="4" borderId="0" xfId="0" applyFont="1" applyFill="1" applyAlignment="1">
      <alignment horizontal="right"/>
    </xf>
    <xf numFmtId="9" fontId="3" fillId="0" borderId="1" xfId="0" applyNumberFormat="1" applyFont="1" applyBorder="1" applyAlignment="1">
      <alignment horizontal="center"/>
    </xf>
    <xf numFmtId="0" fontId="2" fillId="4" borderId="1" xfId="0" applyFont="1" applyFill="1" applyBorder="1" applyAlignment="1">
      <alignment horizontal="center"/>
    </xf>
    <xf numFmtId="0" fontId="11" fillId="4" borderId="0" xfId="0" applyFont="1" applyFill="1" applyAlignment="1">
      <alignment horizontal="center" vertical="center"/>
    </xf>
    <xf numFmtId="0" fontId="8" fillId="0" borderId="0" xfId="0" applyFont="1" applyAlignment="1">
      <alignment horizontal="right"/>
    </xf>
    <xf numFmtId="166" fontId="6" fillId="0" borderId="2" xfId="1" applyNumberFormat="1" applyFont="1" applyBorder="1" applyAlignment="1">
      <alignment horizontal="center" vertical="center"/>
    </xf>
    <xf numFmtId="0" fontId="6" fillId="4" borderId="2" xfId="0" applyFont="1" applyFill="1" applyBorder="1" applyAlignment="1">
      <alignment horizontal="center" vertical="center"/>
    </xf>
    <xf numFmtId="9" fontId="11" fillId="0" borderId="0" xfId="0" applyNumberFormat="1" applyFont="1" applyAlignment="1">
      <alignment horizontal="center" vertical="center"/>
    </xf>
    <xf numFmtId="9" fontId="12" fillId="0" borderId="2" xfId="2" applyFont="1" applyBorder="1" applyAlignment="1">
      <alignment horizontal="center" vertical="center"/>
    </xf>
    <xf numFmtId="165" fontId="7" fillId="0" borderId="2" xfId="1" applyNumberFormat="1" applyFont="1" applyBorder="1" applyAlignment="1">
      <alignment horizontal="center" vertical="center"/>
    </xf>
    <xf numFmtId="0" fontId="15" fillId="0" borderId="0" xfId="0" applyFont="1" applyAlignment="1">
      <alignment horizontal="center" vertical="center"/>
    </xf>
    <xf numFmtId="0" fontId="16" fillId="0" borderId="1" xfId="0" applyFont="1" applyBorder="1" applyAlignment="1">
      <alignment horizontal="center"/>
    </xf>
    <xf numFmtId="166" fontId="13" fillId="0" borderId="2" xfId="1" applyNumberFormat="1" applyFont="1" applyBorder="1" applyAlignment="1">
      <alignment horizontal="center" vertical="center"/>
    </xf>
    <xf numFmtId="0" fontId="14" fillId="0" borderId="0" xfId="0" applyFont="1" applyAlignment="1">
      <alignment horizontal="center" vertical="center"/>
    </xf>
    <xf numFmtId="0" fontId="14" fillId="0" borderId="0" xfId="0" applyFont="1" applyAlignment="1">
      <alignment horizontal="right"/>
    </xf>
    <xf numFmtId="166" fontId="17" fillId="0" borderId="2" xfId="1" applyNumberFormat="1" applyFont="1" applyBorder="1" applyAlignment="1">
      <alignment horizontal="center" vertical="center"/>
    </xf>
    <xf numFmtId="164" fontId="3" fillId="0" borderId="1" xfId="1" applyNumberFormat="1" applyFont="1" applyBorder="1" applyAlignment="1">
      <alignment horizontal="center" vertical="center"/>
    </xf>
    <xf numFmtId="164" fontId="17" fillId="0" borderId="2" xfId="1" applyNumberFormat="1" applyFont="1" applyBorder="1" applyAlignment="1">
      <alignment horizontal="center" vertical="center"/>
    </xf>
    <xf numFmtId="168" fontId="12" fillId="0" borderId="2" xfId="2" applyNumberFormat="1" applyFont="1" applyBorder="1" applyAlignment="1">
      <alignment horizontal="center" vertical="center"/>
    </xf>
    <xf numFmtId="169" fontId="6" fillId="0" borderId="2" xfId="1" applyNumberFormat="1" applyFont="1" applyBorder="1" applyAlignment="1">
      <alignment horizontal="center" vertical="center"/>
    </xf>
    <xf numFmtId="0" fontId="0" fillId="0" borderId="0" xfId="0" applyAlignment="1">
      <alignment horizontal="center" vertical="center"/>
    </xf>
    <xf numFmtId="0" fontId="11" fillId="0" borderId="0" xfId="0" applyFont="1" applyAlignment="1">
      <alignment horizontal="right"/>
    </xf>
    <xf numFmtId="0" fontId="9" fillId="0" borderId="0" xfId="0" applyFont="1" applyAlignment="1">
      <alignment horizontal="center" vertical="center"/>
    </xf>
    <xf numFmtId="0" fontId="19" fillId="0" borderId="1" xfId="0" applyFont="1" applyBorder="1" applyAlignment="1">
      <alignment horizontal="center"/>
    </xf>
    <xf numFmtId="0" fontId="5" fillId="0" borderId="0" xfId="0" applyFont="1" applyAlignment="1">
      <alignment horizontal="center" vertical="center"/>
    </xf>
    <xf numFmtId="0" fontId="5" fillId="4" borderId="2" xfId="0" applyFont="1" applyFill="1" applyBorder="1" applyAlignment="1">
      <alignment horizontal="center" vertical="center"/>
    </xf>
    <xf numFmtId="164" fontId="3" fillId="0" borderId="1" xfId="1" applyNumberFormat="1" applyFont="1" applyBorder="1" applyAlignment="1">
      <alignment horizontal="center"/>
    </xf>
    <xf numFmtId="0" fontId="0" fillId="0" borderId="0" xfId="0" applyAlignment="1">
      <alignment horizontal="center" vertical="top" wrapText="1"/>
    </xf>
    <xf numFmtId="166" fontId="3" fillId="0" borderId="1" xfId="1" applyNumberFormat="1" applyFont="1" applyBorder="1" applyAlignment="1">
      <alignment horizontal="center" vertical="center"/>
    </xf>
    <xf numFmtId="0" fontId="22" fillId="0" borderId="0" xfId="0" applyFont="1"/>
    <xf numFmtId="0" fontId="0" fillId="0" borderId="0" xfId="0" applyAlignment="1">
      <alignment horizontal="right"/>
    </xf>
    <xf numFmtId="171" fontId="0" fillId="0" borderId="0" xfId="0" applyNumberFormat="1"/>
    <xf numFmtId="2" fontId="0" fillId="0" borderId="0" xfId="0" applyNumberFormat="1" applyAlignment="1">
      <alignment horizontal="center" vertical="center"/>
    </xf>
    <xf numFmtId="2" fontId="0" fillId="0" borderId="0" xfId="0" applyNumberFormat="1"/>
    <xf numFmtId="9" fontId="5" fillId="0" borderId="0" xfId="0" applyNumberFormat="1" applyFont="1" applyAlignment="1">
      <alignment horizontal="center" vertical="center"/>
    </xf>
    <xf numFmtId="168" fontId="6" fillId="0" borderId="2" xfId="2" applyNumberFormat="1" applyFont="1" applyBorder="1" applyAlignment="1">
      <alignment horizontal="center" vertical="center"/>
    </xf>
    <xf numFmtId="168" fontId="3" fillId="0" borderId="1" xfId="0" applyNumberFormat="1" applyFont="1" applyBorder="1" applyAlignment="1">
      <alignment horizontal="center" vertical="center"/>
    </xf>
    <xf numFmtId="172" fontId="29" fillId="0" borderId="0" xfId="0" applyNumberFormat="1" applyFont="1" applyAlignment="1">
      <alignment horizontal="center"/>
    </xf>
    <xf numFmtId="173" fontId="29" fillId="0" borderId="0" xfId="0" applyNumberFormat="1" applyFont="1" applyAlignment="1">
      <alignment horizontal="center"/>
    </xf>
    <xf numFmtId="174" fontId="29" fillId="0" borderId="0" xfId="0" applyNumberFormat="1" applyFont="1" applyAlignment="1">
      <alignment horizontal="center"/>
    </xf>
    <xf numFmtId="175" fontId="29" fillId="0" borderId="0" xfId="0" applyNumberFormat="1" applyFont="1" applyAlignment="1">
      <alignment horizontal="center"/>
    </xf>
    <xf numFmtId="172" fontId="29" fillId="0" borderId="0" xfId="0" applyNumberFormat="1" applyFont="1" applyAlignment="1">
      <alignment horizontal="right"/>
    </xf>
    <xf numFmtId="176" fontId="29" fillId="0" borderId="0" xfId="0" applyNumberFormat="1" applyFont="1" applyAlignment="1">
      <alignment horizontal="center"/>
    </xf>
    <xf numFmtId="172" fontId="29" fillId="0" borderId="0" xfId="0" applyNumberFormat="1" applyFont="1" applyAlignment="1">
      <alignment horizontal="center" wrapText="1"/>
    </xf>
    <xf numFmtId="172" fontId="30" fillId="0" borderId="0" xfId="0" applyNumberFormat="1" applyFont="1" applyAlignment="1">
      <alignment horizontal="right"/>
    </xf>
    <xf numFmtId="172" fontId="30" fillId="0" borderId="0" xfId="0" applyNumberFormat="1" applyFont="1" applyAlignment="1">
      <alignment horizontal="center"/>
    </xf>
    <xf numFmtId="0" fontId="28" fillId="0" borderId="0" xfId="0" applyFont="1"/>
    <xf numFmtId="172" fontId="29" fillId="0" borderId="0" xfId="1" applyNumberFormat="1" applyFont="1" applyAlignment="1">
      <alignment horizontal="center"/>
    </xf>
    <xf numFmtId="172" fontId="29" fillId="3" borderId="0" xfId="1" applyNumberFormat="1" applyFont="1" applyFill="1" applyAlignment="1">
      <alignment horizontal="center"/>
    </xf>
    <xf numFmtId="172" fontId="29" fillId="3" borderId="0" xfId="0" applyNumberFormat="1" applyFont="1" applyFill="1" applyAlignment="1">
      <alignment horizontal="center"/>
    </xf>
    <xf numFmtId="171" fontId="3" fillId="0" borderId="1" xfId="0" applyNumberFormat="1" applyFont="1" applyBorder="1" applyAlignment="1">
      <alignment horizontal="center"/>
    </xf>
    <xf numFmtId="164" fontId="5" fillId="4" borderId="2" xfId="0" applyNumberFormat="1" applyFont="1" applyFill="1" applyBorder="1" applyAlignment="1">
      <alignment horizontal="center" vertical="center"/>
    </xf>
    <xf numFmtId="165" fontId="6" fillId="0" borderId="2" xfId="1" applyNumberFormat="1" applyFont="1" applyFill="1" applyBorder="1" applyAlignment="1">
      <alignment horizontal="center" vertical="center"/>
    </xf>
    <xf numFmtId="0" fontId="0" fillId="0" borderId="0" xfId="0" applyAlignment="1">
      <alignment horizontal="center" vertical="center" wrapText="1"/>
    </xf>
    <xf numFmtId="0" fontId="22" fillId="0" borderId="0" xfId="0" applyFont="1" applyAlignment="1">
      <alignment horizontal="center" vertical="center"/>
    </xf>
    <xf numFmtId="171" fontId="12" fillId="0" borderId="2" xfId="0" applyNumberFormat="1" applyFont="1" applyBorder="1" applyAlignment="1">
      <alignment horizontal="center" vertical="center"/>
    </xf>
    <xf numFmtId="3" fontId="6" fillId="0" borderId="2" xfId="0" applyNumberFormat="1" applyFont="1" applyBorder="1" applyAlignment="1">
      <alignment horizontal="center" vertical="center"/>
    </xf>
    <xf numFmtId="164" fontId="18" fillId="0" borderId="2" xfId="1" applyNumberFormat="1" applyFont="1" applyFill="1" applyBorder="1" applyAlignment="1">
      <alignment horizontal="center" vertical="center"/>
    </xf>
    <xf numFmtId="164" fontId="6" fillId="0" borderId="2" xfId="1" applyNumberFormat="1" applyFont="1" applyFill="1" applyBorder="1" applyAlignment="1">
      <alignment horizontal="center" vertical="center"/>
    </xf>
    <xf numFmtId="165" fontId="7" fillId="0" borderId="2" xfId="1" applyNumberFormat="1" applyFont="1" applyFill="1" applyBorder="1" applyAlignment="1">
      <alignment horizontal="center" vertical="center"/>
    </xf>
    <xf numFmtId="170" fontId="9" fillId="0" borderId="1" xfId="0" applyNumberFormat="1" applyFont="1" applyBorder="1" applyAlignment="1">
      <alignment horizontal="center" vertical="center"/>
    </xf>
    <xf numFmtId="171" fontId="32" fillId="8" borderId="2" xfId="0" applyNumberFormat="1" applyFont="1" applyFill="1" applyBorder="1" applyAlignment="1">
      <alignment horizontal="center" vertical="center"/>
    </xf>
    <xf numFmtId="165" fontId="32" fillId="8" borderId="2" xfId="1" applyNumberFormat="1" applyFont="1" applyFill="1" applyBorder="1" applyAlignment="1">
      <alignment horizontal="center" vertical="center"/>
    </xf>
    <xf numFmtId="164" fontId="32" fillId="8" borderId="2" xfId="1" applyNumberFormat="1" applyFont="1" applyFill="1" applyBorder="1" applyAlignment="1">
      <alignment horizontal="center" vertical="center"/>
    </xf>
    <xf numFmtId="2" fontId="33" fillId="4" borderId="1" xfId="1" applyNumberFormat="1" applyFont="1" applyFill="1" applyBorder="1" applyAlignment="1">
      <alignment horizontal="center" vertical="center"/>
    </xf>
    <xf numFmtId="1" fontId="32" fillId="8" borderId="2" xfId="0" applyNumberFormat="1" applyFont="1" applyFill="1" applyBorder="1" applyAlignment="1">
      <alignment horizontal="center" vertical="center"/>
    </xf>
    <xf numFmtId="0" fontId="3" fillId="7" borderId="1" xfId="0" applyFont="1" applyFill="1" applyBorder="1" applyAlignment="1">
      <alignment horizontal="center"/>
    </xf>
    <xf numFmtId="0" fontId="27" fillId="7" borderId="0" xfId="0" applyFont="1" applyFill="1" applyAlignment="1">
      <alignment horizontal="right"/>
    </xf>
    <xf numFmtId="0" fontId="27" fillId="7" borderId="0" xfId="0" applyFont="1" applyFill="1" applyAlignment="1">
      <alignment horizontal="center" vertical="center"/>
    </xf>
    <xf numFmtId="165" fontId="34" fillId="7" borderId="2" xfId="1" applyNumberFormat="1" applyFont="1" applyFill="1" applyBorder="1" applyAlignment="1">
      <alignment horizontal="center" vertical="center"/>
    </xf>
    <xf numFmtId="0" fontId="0" fillId="2" borderId="0" xfId="0" applyFill="1" applyAlignment="1">
      <alignment horizontal="left" vertical="center"/>
    </xf>
    <xf numFmtId="164" fontId="35" fillId="0" borderId="2" xfId="1" applyNumberFormat="1" applyFont="1" applyFill="1" applyBorder="1" applyAlignment="1">
      <alignment horizontal="center" vertical="center"/>
    </xf>
    <xf numFmtId="3" fontId="6" fillId="2" borderId="2" xfId="0" applyNumberFormat="1" applyFont="1" applyFill="1" applyBorder="1" applyAlignment="1">
      <alignment horizontal="center" vertical="center"/>
    </xf>
    <xf numFmtId="171" fontId="17" fillId="2" borderId="2" xfId="0" applyNumberFormat="1" applyFont="1" applyFill="1" applyBorder="1" applyAlignment="1">
      <alignment horizontal="center" vertical="center"/>
    </xf>
    <xf numFmtId="3" fontId="32" fillId="8" borderId="2" xfId="0" applyNumberFormat="1" applyFont="1" applyFill="1" applyBorder="1" applyAlignment="1">
      <alignment horizontal="center" vertical="center"/>
    </xf>
    <xf numFmtId="0" fontId="2" fillId="0" borderId="4" xfId="0" applyFont="1" applyBorder="1" applyAlignment="1">
      <alignment horizontal="right"/>
    </xf>
    <xf numFmtId="0" fontId="20" fillId="6" borderId="4" xfId="0" applyFont="1" applyFill="1" applyBorder="1" applyAlignment="1">
      <alignment horizontal="center" wrapText="1"/>
    </xf>
    <xf numFmtId="0" fontId="10" fillId="9" borderId="4" xfId="0" applyFont="1" applyFill="1" applyBorder="1" applyAlignment="1">
      <alignment horizontal="right"/>
    </xf>
    <xf numFmtId="0" fontId="21" fillId="9" borderId="4" xfId="0" applyFont="1" applyFill="1" applyBorder="1" applyAlignment="1">
      <alignment horizontal="center" wrapText="1"/>
    </xf>
    <xf numFmtId="0" fontId="31" fillId="10" borderId="4" xfId="0" applyFont="1" applyFill="1" applyBorder="1" applyAlignment="1">
      <alignment horizontal="center" wrapText="1"/>
    </xf>
    <xf numFmtId="0" fontId="23" fillId="4" borderId="4" xfId="0" applyFont="1" applyFill="1" applyBorder="1" applyAlignment="1">
      <alignment horizontal="center" wrapText="1"/>
    </xf>
    <xf numFmtId="0" fontId="20" fillId="5" borderId="4" xfId="0" applyFont="1" applyFill="1" applyBorder="1" applyAlignment="1">
      <alignment horizontal="center" wrapText="1"/>
    </xf>
    <xf numFmtId="164" fontId="23" fillId="0" borderId="4" xfId="0" applyNumberFormat="1" applyFont="1" applyBorder="1" applyAlignment="1">
      <alignment horizontal="center" vertical="center" wrapText="1"/>
    </xf>
    <xf numFmtId="0" fontId="2" fillId="4" borderId="10" xfId="0" applyFont="1" applyFill="1" applyBorder="1" applyAlignment="1">
      <alignment horizontal="center"/>
    </xf>
    <xf numFmtId="0" fontId="0" fillId="0" borderId="4" xfId="0" applyBorder="1"/>
    <xf numFmtId="0" fontId="36" fillId="11" borderId="4" xfId="0" applyFont="1" applyFill="1" applyBorder="1" applyAlignment="1">
      <alignment horizontal="center" wrapText="1"/>
    </xf>
    <xf numFmtId="0" fontId="24" fillId="0" borderId="14" xfId="0" applyFont="1" applyBorder="1" applyAlignment="1">
      <alignment horizontal="center" vertical="center" wrapText="1"/>
    </xf>
    <xf numFmtId="0" fontId="23" fillId="4" borderId="2" xfId="0" applyFont="1" applyFill="1" applyBorder="1" applyAlignment="1">
      <alignment horizontal="center" vertical="center" wrapText="1"/>
    </xf>
    <xf numFmtId="9" fontId="0" fillId="0" borderId="0" xfId="0" applyNumberFormat="1"/>
    <xf numFmtId="171" fontId="23" fillId="0" borderId="7" xfId="0" applyNumberFormat="1" applyFont="1" applyBorder="1" applyAlignment="1">
      <alignment horizontal="center" vertical="center" wrapText="1"/>
    </xf>
    <xf numFmtId="177" fontId="0" fillId="0" borderId="0" xfId="0" applyNumberFormat="1"/>
    <xf numFmtId="170" fontId="6" fillId="0" borderId="2" xfId="0" applyNumberFormat="1" applyFont="1" applyBorder="1" applyAlignment="1">
      <alignment horizontal="center" vertical="center"/>
    </xf>
    <xf numFmtId="3" fontId="37" fillId="12" borderId="2" xfId="0" applyNumberFormat="1" applyFont="1" applyFill="1" applyBorder="1" applyAlignment="1">
      <alignment horizontal="center" vertical="center"/>
    </xf>
    <xf numFmtId="178" fontId="37" fillId="12" borderId="2" xfId="0" applyNumberFormat="1" applyFont="1" applyFill="1" applyBorder="1" applyAlignment="1">
      <alignment horizontal="center" vertical="center"/>
    </xf>
    <xf numFmtId="178" fontId="6" fillId="0" borderId="2" xfId="0" applyNumberFormat="1" applyFont="1" applyBorder="1" applyAlignment="1">
      <alignment horizontal="center" vertical="center"/>
    </xf>
    <xf numFmtId="178" fontId="13" fillId="0" borderId="2" xfId="0" applyNumberFormat="1" applyFont="1" applyBorder="1" applyAlignment="1">
      <alignment horizontal="center" vertical="center"/>
    </xf>
    <xf numFmtId="178" fontId="34" fillId="0" borderId="2" xfId="0" applyNumberFormat="1" applyFont="1" applyBorder="1" applyAlignment="1">
      <alignment horizontal="center" vertical="center"/>
    </xf>
    <xf numFmtId="0" fontId="38" fillId="5" borderId="4" xfId="0" applyFont="1" applyFill="1" applyBorder="1" applyAlignment="1">
      <alignment horizontal="center" wrapText="1"/>
    </xf>
    <xf numFmtId="2" fontId="6" fillId="0" borderId="0" xfId="0" applyNumberFormat="1" applyFont="1" applyAlignment="1">
      <alignment horizontal="center" vertical="center"/>
    </xf>
    <xf numFmtId="0" fontId="6" fillId="0" borderId="0" xfId="0" applyFont="1"/>
    <xf numFmtId="0" fontId="39" fillId="0" borderId="0" xfId="0" applyFont="1"/>
    <xf numFmtId="165" fontId="40" fillId="0" borderId="2" xfId="1" applyNumberFormat="1" applyFont="1" applyFill="1" applyBorder="1" applyAlignment="1">
      <alignment horizontal="center" vertical="center"/>
    </xf>
    <xf numFmtId="178" fontId="6" fillId="0" borderId="0" xfId="0" applyNumberFormat="1" applyFont="1" applyAlignment="1">
      <alignment horizontal="center" vertical="center"/>
    </xf>
    <xf numFmtId="178" fontId="6" fillId="2" borderId="2" xfId="0" applyNumberFormat="1" applyFont="1" applyFill="1" applyBorder="1" applyAlignment="1">
      <alignment horizontal="center" vertical="center"/>
    </xf>
    <xf numFmtId="168" fontId="5" fillId="0" borderId="0" xfId="0" applyNumberFormat="1" applyFont="1" applyAlignment="1">
      <alignment horizontal="center" vertical="center"/>
    </xf>
    <xf numFmtId="168" fontId="6" fillId="0" borderId="0" xfId="0" applyNumberFormat="1" applyFont="1" applyAlignment="1">
      <alignment horizontal="center" vertical="center"/>
    </xf>
    <xf numFmtId="165" fontId="6" fillId="0" borderId="0" xfId="1" applyNumberFormat="1" applyFont="1" applyFill="1" applyBorder="1" applyAlignment="1">
      <alignment horizontal="center" vertical="center"/>
    </xf>
    <xf numFmtId="0" fontId="36" fillId="0" borderId="4" xfId="0" applyFont="1" applyBorder="1" applyAlignment="1">
      <alignment horizontal="center" wrapText="1"/>
    </xf>
    <xf numFmtId="2" fontId="6" fillId="0" borderId="2" xfId="0" applyNumberFormat="1" applyFont="1" applyBorder="1" applyAlignment="1">
      <alignment horizontal="center" vertical="center"/>
    </xf>
    <xf numFmtId="178" fontId="6" fillId="0" borderId="10" xfId="0" applyNumberFormat="1" applyFont="1" applyBorder="1" applyAlignment="1">
      <alignment horizontal="center" vertical="center"/>
    </xf>
    <xf numFmtId="0" fontId="6" fillId="0" borderId="0" xfId="0" applyFont="1" applyAlignment="1">
      <alignment horizontal="right"/>
    </xf>
    <xf numFmtId="0" fontId="6" fillId="0" borderId="0" xfId="0" applyFont="1" applyAlignment="1">
      <alignment horizontal="center" vertical="center"/>
    </xf>
    <xf numFmtId="0" fontId="6" fillId="0" borderId="5" xfId="0" applyFont="1" applyBorder="1" applyAlignment="1">
      <alignment horizontal="right"/>
    </xf>
    <xf numFmtId="2" fontId="6" fillId="0" borderId="4" xfId="0" applyNumberFormat="1" applyFont="1" applyBorder="1" applyAlignment="1">
      <alignment horizontal="center" vertical="center" wrapText="1"/>
    </xf>
    <xf numFmtId="0" fontId="0" fillId="0" borderId="4" xfId="0" applyBorder="1" applyAlignment="1">
      <alignment horizontal="center" vertical="center"/>
    </xf>
    <xf numFmtId="0" fontId="6" fillId="0" borderId="4" xfId="0" applyFont="1" applyBorder="1" applyAlignment="1">
      <alignment horizontal="center" vertical="center"/>
    </xf>
    <xf numFmtId="2" fontId="6" fillId="0" borderId="4" xfId="0" applyNumberFormat="1" applyFont="1" applyBorder="1" applyAlignment="1">
      <alignment horizontal="center" vertical="center"/>
    </xf>
    <xf numFmtId="165" fontId="6" fillId="0" borderId="4" xfId="1" applyNumberFormat="1" applyFont="1" applyFill="1" applyBorder="1" applyAlignment="1">
      <alignment horizontal="center" vertical="center"/>
    </xf>
    <xf numFmtId="178" fontId="6" fillId="0" borderId="4" xfId="0" applyNumberFormat="1" applyFont="1" applyBorder="1" applyAlignment="1">
      <alignment horizontal="center" vertical="center"/>
    </xf>
    <xf numFmtId="0" fontId="6" fillId="0" borderId="5" xfId="0" applyFont="1" applyBorder="1" applyAlignment="1">
      <alignment horizontal="center" vertical="center"/>
    </xf>
    <xf numFmtId="166" fontId="40" fillId="13" borderId="4" xfId="1" applyNumberFormat="1" applyFont="1" applyFill="1" applyBorder="1" applyAlignment="1">
      <alignment horizontal="center" vertical="center"/>
    </xf>
    <xf numFmtId="164" fontId="7" fillId="13" borderId="4" xfId="1" applyNumberFormat="1" applyFont="1" applyFill="1" applyBorder="1" applyAlignment="1">
      <alignment horizontal="center" vertical="center"/>
    </xf>
    <xf numFmtId="165" fontId="7" fillId="13" borderId="4" xfId="1" applyNumberFormat="1" applyFont="1" applyFill="1" applyBorder="1" applyAlignment="1">
      <alignment horizontal="center" vertical="center"/>
    </xf>
    <xf numFmtId="167" fontId="7" fillId="13" borderId="4" xfId="0" applyNumberFormat="1" applyFont="1" applyFill="1" applyBorder="1" applyAlignment="1">
      <alignment horizontal="center" vertical="center"/>
    </xf>
    <xf numFmtId="2" fontId="7" fillId="13" borderId="4" xfId="0" applyNumberFormat="1" applyFont="1" applyFill="1" applyBorder="1" applyAlignment="1">
      <alignment horizontal="center" vertical="center"/>
    </xf>
    <xf numFmtId="0" fontId="6" fillId="0" borderId="4" xfId="0" applyFont="1" applyBorder="1" applyAlignment="1">
      <alignment horizontal="right"/>
    </xf>
    <xf numFmtId="164" fontId="6" fillId="0" borderId="4" xfId="0" applyNumberFormat="1" applyFont="1" applyBorder="1" applyAlignment="1">
      <alignment horizontal="center" vertical="center"/>
    </xf>
    <xf numFmtId="167" fontId="6" fillId="0" borderId="4" xfId="0" applyNumberFormat="1" applyFont="1" applyBorder="1" applyAlignment="1">
      <alignment horizontal="center" vertical="center"/>
    </xf>
    <xf numFmtId="0" fontId="23" fillId="13" borderId="6" xfId="0" applyFont="1" applyFill="1" applyBorder="1" applyAlignment="1">
      <alignment horizontal="right"/>
    </xf>
    <xf numFmtId="0" fontId="23" fillId="13" borderId="4" xfId="0" applyFont="1" applyFill="1" applyBorder="1" applyAlignment="1">
      <alignment horizontal="right"/>
    </xf>
    <xf numFmtId="0" fontId="11" fillId="0" borderId="0" xfId="0" applyFont="1" applyAlignment="1">
      <alignment wrapText="1"/>
    </xf>
    <xf numFmtId="179" fontId="5" fillId="0" borderId="0" xfId="0" applyNumberFormat="1" applyFont="1" applyAlignment="1">
      <alignment horizontal="center" vertical="center"/>
    </xf>
    <xf numFmtId="0" fontId="23" fillId="0" borderId="0" xfId="0" applyFont="1" applyAlignment="1">
      <alignment horizontal="center"/>
    </xf>
    <xf numFmtId="0" fontId="0" fillId="0" borderId="0" xfId="0" applyAlignment="1">
      <alignment horizontal="center"/>
    </xf>
    <xf numFmtId="165" fontId="0" fillId="0" borderId="0" xfId="0" applyNumberFormat="1"/>
    <xf numFmtId="0" fontId="6" fillId="0" borderId="3" xfId="0" applyFont="1" applyBorder="1" applyAlignment="1">
      <alignment horizontal="center" vertical="center"/>
    </xf>
    <xf numFmtId="0" fontId="6" fillId="0" borderId="11" xfId="0" applyFont="1" applyBorder="1" applyAlignment="1">
      <alignment horizontal="center" vertical="center"/>
    </xf>
    <xf numFmtId="0" fontId="4" fillId="0" borderId="4" xfId="0" applyFont="1" applyBorder="1" applyAlignment="1">
      <alignment horizontal="center" vertical="center"/>
    </xf>
    <xf numFmtId="165" fontId="42" fillId="0" borderId="4" xfId="0" applyNumberFormat="1" applyFont="1" applyBorder="1" applyAlignment="1">
      <alignment horizontal="center" vertical="center"/>
    </xf>
    <xf numFmtId="2" fontId="32" fillId="14" borderId="2" xfId="0" applyNumberFormat="1" applyFont="1" applyFill="1" applyBorder="1" applyAlignment="1">
      <alignment horizontal="center" vertical="center"/>
    </xf>
    <xf numFmtId="2" fontId="32" fillId="14" borderId="1" xfId="0" applyNumberFormat="1" applyFont="1" applyFill="1" applyBorder="1" applyAlignment="1">
      <alignment horizontal="center" vertical="center"/>
    </xf>
    <xf numFmtId="2" fontId="32" fillId="14" borderId="9" xfId="0" applyNumberFormat="1" applyFont="1" applyFill="1" applyBorder="1" applyAlignment="1">
      <alignment horizontal="center" vertical="center"/>
    </xf>
    <xf numFmtId="2" fontId="32" fillId="14" borderId="10" xfId="0" applyNumberFormat="1" applyFont="1" applyFill="1" applyBorder="1" applyAlignment="1">
      <alignment horizontal="center" vertical="center"/>
    </xf>
    <xf numFmtId="178" fontId="32" fillId="14" borderId="3" xfId="0" applyNumberFormat="1" applyFont="1" applyFill="1" applyBorder="1" applyAlignment="1">
      <alignment horizontal="center" vertical="center"/>
    </xf>
    <xf numFmtId="178" fontId="32" fillId="14" borderId="8" xfId="0" applyNumberFormat="1" applyFont="1" applyFill="1" applyBorder="1" applyAlignment="1">
      <alignment horizontal="center" vertical="center"/>
    </xf>
    <xf numFmtId="168" fontId="0" fillId="0" borderId="0" xfId="2" applyNumberFormat="1" applyFont="1"/>
    <xf numFmtId="0" fontId="0" fillId="0" borderId="0" xfId="0" applyAlignment="1">
      <alignment vertical="center"/>
    </xf>
    <xf numFmtId="0" fontId="0" fillId="0" borderId="4" xfId="0" applyBorder="1" applyAlignment="1">
      <alignment horizontal="right"/>
    </xf>
    <xf numFmtId="0" fontId="0" fillId="0" borderId="4" xfId="0" applyBorder="1" applyAlignment="1">
      <alignment horizontal="center"/>
    </xf>
    <xf numFmtId="9" fontId="43" fillId="0" borderId="0" xfId="0" applyNumberFormat="1" applyFont="1" applyAlignment="1">
      <alignment horizontal="center" vertical="center"/>
    </xf>
    <xf numFmtId="166" fontId="44" fillId="0" borderId="1" xfId="1" applyNumberFormat="1" applyFont="1" applyBorder="1" applyAlignment="1">
      <alignment horizontal="center" vertical="center"/>
    </xf>
    <xf numFmtId="1" fontId="44" fillId="0" borderId="2" xfId="0" applyNumberFormat="1" applyFont="1" applyBorder="1" applyAlignment="1">
      <alignment horizontal="center" vertical="center"/>
    </xf>
    <xf numFmtId="0" fontId="45" fillId="0" borderId="4" xfId="0" applyFont="1" applyBorder="1" applyAlignment="1">
      <alignment horizontal="center" vertical="center"/>
    </xf>
    <xf numFmtId="0" fontId="0" fillId="4" borderId="4" xfId="0" applyFill="1" applyBorder="1" applyAlignment="1">
      <alignment horizontal="center" vertical="center"/>
    </xf>
    <xf numFmtId="0" fontId="0" fillId="4" borderId="4" xfId="0" applyFill="1" applyBorder="1" applyAlignment="1">
      <alignment horizontal="center"/>
    </xf>
    <xf numFmtId="0" fontId="46" fillId="0" borderId="4" xfId="0" applyFont="1" applyBorder="1" applyAlignment="1">
      <alignment horizontal="center" vertical="center"/>
    </xf>
    <xf numFmtId="0" fontId="0" fillId="0" borderId="4" xfId="0" applyBorder="1" applyAlignment="1">
      <alignment horizontal="center" vertical="center" wrapText="1"/>
    </xf>
    <xf numFmtId="0" fontId="45" fillId="15" borderId="4" xfId="0" applyFont="1" applyFill="1" applyBorder="1" applyAlignment="1">
      <alignment horizontal="center" vertical="center"/>
    </xf>
    <xf numFmtId="0" fontId="45" fillId="16" borderId="4" xfId="0" applyFont="1" applyFill="1" applyBorder="1" applyAlignment="1">
      <alignment horizontal="center" vertical="center"/>
    </xf>
    <xf numFmtId="0" fontId="46" fillId="15" borderId="4" xfId="0" applyFont="1" applyFill="1" applyBorder="1" applyAlignment="1">
      <alignment horizontal="center" vertical="center"/>
    </xf>
    <xf numFmtId="0" fontId="0" fillId="4" borderId="4" xfId="0" applyFill="1" applyBorder="1" applyAlignment="1">
      <alignment horizontal="center" vertical="center" wrapText="1"/>
    </xf>
    <xf numFmtId="0" fontId="0" fillId="4" borderId="4" xfId="0" applyFill="1" applyBorder="1" applyAlignment="1">
      <alignment horizontal="left" vertical="center" wrapText="1"/>
    </xf>
    <xf numFmtId="0" fontId="0" fillId="15" borderId="4" xfId="0" applyFill="1" applyBorder="1" applyAlignment="1">
      <alignment horizontal="left" vertical="center" wrapText="1"/>
    </xf>
    <xf numFmtId="0" fontId="0" fillId="16" borderId="4" xfId="0" applyFill="1" applyBorder="1" applyAlignment="1">
      <alignment horizontal="left" vertical="center" wrapText="1"/>
    </xf>
    <xf numFmtId="0" fontId="0" fillId="0" borderId="0" xfId="0" applyAlignment="1">
      <alignment horizontal="left" vertical="center"/>
    </xf>
    <xf numFmtId="0" fontId="47" fillId="15" borderId="4" xfId="0" applyFont="1" applyFill="1" applyBorder="1" applyAlignment="1">
      <alignment horizontal="center" vertical="center"/>
    </xf>
    <xf numFmtId="1" fontId="0" fillId="0" borderId="4" xfId="0" applyNumberFormat="1" applyBorder="1" applyAlignment="1">
      <alignment horizontal="center" vertical="center"/>
    </xf>
    <xf numFmtId="0" fontId="0" fillId="0" borderId="4" xfId="0" applyBorder="1" applyAlignment="1">
      <alignment horizontal="center" vertical="top" wrapText="1"/>
    </xf>
    <xf numFmtId="0" fontId="0" fillId="0" borderId="4" xfId="0" applyBorder="1" applyAlignment="1">
      <alignment vertical="top"/>
    </xf>
    <xf numFmtId="0" fontId="0" fillId="0" borderId="4" xfId="0" applyBorder="1" applyAlignment="1">
      <alignment vertical="top" wrapText="1"/>
    </xf>
    <xf numFmtId="0" fontId="23" fillId="0" borderId="4" xfId="0" applyFont="1" applyBorder="1"/>
    <xf numFmtId="166" fontId="40" fillId="13" borderId="0" xfId="1" applyNumberFormat="1" applyFont="1" applyFill="1" applyBorder="1" applyAlignment="1">
      <alignment horizontal="center" vertical="center"/>
    </xf>
    <xf numFmtId="2" fontId="37" fillId="0" borderId="4" xfId="0" applyNumberFormat="1" applyFont="1" applyBorder="1" applyAlignment="1">
      <alignment horizontal="center" vertical="center"/>
    </xf>
    <xf numFmtId="178" fontId="37" fillId="0" borderId="4" xfId="0" applyNumberFormat="1" applyFont="1" applyBorder="1" applyAlignment="1">
      <alignment horizontal="center" vertical="center"/>
    </xf>
    <xf numFmtId="0" fontId="50" fillId="0" borderId="0" xfId="0" applyFont="1"/>
    <xf numFmtId="0" fontId="51" fillId="0" borderId="0" xfId="0" applyFont="1" applyAlignment="1">
      <alignment vertical="center"/>
    </xf>
    <xf numFmtId="2" fontId="0" fillId="17" borderId="0" xfId="0" applyNumberFormat="1" applyFill="1"/>
    <xf numFmtId="0" fontId="49" fillId="0" borderId="0" xfId="0" applyFont="1" applyAlignment="1">
      <alignment horizontal="center" vertical="top" wrapText="1"/>
    </xf>
    <xf numFmtId="0" fontId="53" fillId="0" borderId="4" xfId="0" applyFont="1" applyBorder="1" applyAlignment="1">
      <alignment horizontal="center" vertical="center"/>
    </xf>
    <xf numFmtId="178" fontId="53" fillId="0" borderId="4" xfId="0" applyNumberFormat="1" applyFont="1" applyBorder="1" applyAlignment="1">
      <alignment horizontal="center" vertical="center"/>
    </xf>
    <xf numFmtId="166" fontId="53" fillId="0" borderId="4" xfId="0" applyNumberFormat="1" applyFont="1" applyBorder="1" applyAlignment="1">
      <alignment horizontal="center" vertical="center"/>
    </xf>
    <xf numFmtId="2" fontId="53" fillId="0" borderId="4" xfId="0" applyNumberFormat="1" applyFont="1" applyBorder="1" applyAlignment="1">
      <alignment horizontal="center" vertical="center"/>
    </xf>
    <xf numFmtId="166" fontId="7" fillId="13" borderId="4" xfId="1" applyNumberFormat="1" applyFont="1" applyFill="1" applyBorder="1" applyAlignment="1">
      <alignment horizontal="center" vertical="center"/>
    </xf>
    <xf numFmtId="165" fontId="54" fillId="0" borderId="4" xfId="0" applyNumberFormat="1" applyFont="1" applyBorder="1" applyAlignment="1">
      <alignment horizontal="center" vertical="center"/>
    </xf>
    <xf numFmtId="0" fontId="5" fillId="0" borderId="4" xfId="0" applyFont="1" applyBorder="1"/>
    <xf numFmtId="2" fontId="6" fillId="0" borderId="4" xfId="0" applyNumberFormat="1" applyFont="1" applyBorder="1" applyAlignment="1">
      <alignment horizontal="right" vertical="center"/>
    </xf>
    <xf numFmtId="1" fontId="32" fillId="14" borderId="4" xfId="0" applyNumberFormat="1" applyFont="1" applyFill="1" applyBorder="1" applyAlignment="1">
      <alignment horizontal="center" vertical="center"/>
    </xf>
    <xf numFmtId="2" fontId="52" fillId="0" borderId="4" xfId="0" applyNumberFormat="1" applyFont="1" applyBorder="1" applyAlignment="1">
      <alignment horizontal="center" vertical="center"/>
    </xf>
    <xf numFmtId="178" fontId="52" fillId="0" borderId="4" xfId="0" applyNumberFormat="1" applyFont="1" applyBorder="1" applyAlignment="1">
      <alignment horizontal="center" vertical="center"/>
    </xf>
    <xf numFmtId="2" fontId="6" fillId="12" borderId="4" xfId="0" applyNumberFormat="1" applyFont="1" applyFill="1" applyBorder="1" applyAlignment="1">
      <alignment horizontal="center" vertical="center" wrapText="1"/>
    </xf>
    <xf numFmtId="166" fontId="6" fillId="12" borderId="4" xfId="1" applyNumberFormat="1" applyFont="1" applyFill="1" applyBorder="1" applyAlignment="1">
      <alignment horizontal="center" vertical="center"/>
    </xf>
    <xf numFmtId="0" fontId="24" fillId="0" borderId="6" xfId="0" applyFont="1" applyBorder="1" applyAlignment="1">
      <alignment horizontal="center" vertical="center" wrapText="1"/>
    </xf>
    <xf numFmtId="0" fontId="24" fillId="0" borderId="14" xfId="0" applyFont="1" applyBorder="1" applyAlignment="1">
      <alignment horizontal="center" vertical="center" wrapText="1"/>
    </xf>
    <xf numFmtId="0" fontId="24" fillId="0" borderId="15" xfId="0" applyFont="1" applyBorder="1" applyAlignment="1">
      <alignment horizontal="center" vertical="center" wrapText="1"/>
    </xf>
    <xf numFmtId="0" fontId="0" fillId="16" borderId="4" xfId="0" applyFill="1" applyBorder="1" applyAlignment="1">
      <alignment horizontal="left" vertical="center" wrapText="1"/>
    </xf>
    <xf numFmtId="0" fontId="0" fillId="15" borderId="4" xfId="0" applyFill="1" applyBorder="1" applyAlignment="1">
      <alignment horizontal="left" vertical="center" wrapText="1"/>
    </xf>
    <xf numFmtId="0" fontId="0" fillId="0" borderId="4" xfId="0" applyBorder="1" applyAlignment="1">
      <alignment horizontal="left" vertical="center" wrapText="1"/>
    </xf>
    <xf numFmtId="0" fontId="23" fillId="0" borderId="7" xfId="0" applyFont="1" applyBorder="1" applyAlignment="1">
      <alignment horizontal="left" vertical="top" wrapText="1"/>
    </xf>
    <xf numFmtId="0" fontId="23" fillId="0" borderId="3" xfId="0" applyFont="1" applyBorder="1" applyAlignment="1">
      <alignment horizontal="left" vertical="top"/>
    </xf>
    <xf numFmtId="0" fontId="23" fillId="0" borderId="11" xfId="0" applyFont="1" applyBorder="1" applyAlignment="1">
      <alignment horizontal="left" vertical="top"/>
    </xf>
    <xf numFmtId="0" fontId="23" fillId="0" borderId="2" xfId="0" applyFont="1" applyBorder="1" applyAlignment="1">
      <alignment horizontal="left" vertical="top" wrapText="1"/>
    </xf>
    <xf numFmtId="0" fontId="23" fillId="0" borderId="0" xfId="0" applyFont="1" applyAlignment="1">
      <alignment horizontal="left" vertical="top"/>
    </xf>
    <xf numFmtId="0" fontId="23" fillId="0" borderId="12" xfId="0" applyFont="1" applyBorder="1" applyAlignment="1">
      <alignment horizontal="left" vertical="top"/>
    </xf>
    <xf numFmtId="0" fontId="23" fillId="0" borderId="2" xfId="0" applyFont="1" applyBorder="1" applyAlignment="1">
      <alignment horizontal="left" vertical="top"/>
    </xf>
    <xf numFmtId="0" fontId="23" fillId="0" borderId="9" xfId="0" applyFont="1" applyBorder="1" applyAlignment="1">
      <alignment horizontal="left" vertical="top"/>
    </xf>
    <xf numFmtId="0" fontId="23" fillId="0" borderId="5" xfId="0" applyFont="1" applyBorder="1" applyAlignment="1">
      <alignment horizontal="left" vertical="top"/>
    </xf>
    <xf numFmtId="0" fontId="23" fillId="0" borderId="13" xfId="0" applyFont="1" applyBorder="1" applyAlignment="1">
      <alignment horizontal="left" vertical="top"/>
    </xf>
    <xf numFmtId="0" fontId="23" fillId="0" borderId="4" xfId="0" applyFont="1" applyBorder="1" applyAlignment="1">
      <alignment horizontal="left" vertical="center" wrapText="1"/>
    </xf>
    <xf numFmtId="0" fontId="23" fillId="0" borderId="4" xfId="0" applyFont="1" applyBorder="1" applyAlignment="1">
      <alignment horizontal="left" vertical="center"/>
    </xf>
    <xf numFmtId="0" fontId="48" fillId="0" borderId="0" xfId="0" applyFont="1" applyAlignment="1">
      <alignment vertical="center" wrapText="1"/>
    </xf>
    <xf numFmtId="0" fontId="55" fillId="18" borderId="0" xfId="0" applyFont="1" applyFill="1" applyAlignment="1">
      <alignment horizontal="center"/>
    </xf>
    <xf numFmtId="0" fontId="56" fillId="18" borderId="5" xfId="0" applyFont="1" applyFill="1" applyBorder="1" applyAlignment="1">
      <alignment horizontal="center"/>
    </xf>
    <xf numFmtId="0" fontId="55" fillId="18" borderId="5" xfId="0" applyFont="1" applyFill="1" applyBorder="1" applyAlignment="1">
      <alignment horizontal="center" vertical="center"/>
    </xf>
    <xf numFmtId="0" fontId="0" fillId="18" borderId="0" xfId="0" applyFill="1" applyAlignment="1">
      <alignment horizontal="center" vertical="center"/>
    </xf>
    <xf numFmtId="0" fontId="6" fillId="0" borderId="4" xfId="0" applyFont="1" applyBorder="1" applyAlignment="1">
      <alignment horizontal="right" vertical="center"/>
    </xf>
    <xf numFmtId="2" fontId="32" fillId="14" borderId="4" xfId="0" applyNumberFormat="1" applyFont="1" applyFill="1" applyBorder="1" applyAlignment="1">
      <alignment horizontal="center" vertical="center"/>
    </xf>
    <xf numFmtId="178" fontId="32" fillId="14" borderId="4" xfId="0" applyNumberFormat="1" applyFont="1" applyFill="1" applyBorder="1" applyAlignment="1">
      <alignment horizontal="center" vertical="center"/>
    </xf>
    <xf numFmtId="0" fontId="11" fillId="0" borderId="5" xfId="0" applyFont="1" applyBorder="1" applyAlignment="1">
      <alignment horizontal="left" vertical="center" wrapText="1"/>
    </xf>
    <xf numFmtId="0" fontId="60" fillId="0" borderId="4" xfId="0" applyFont="1" applyBorder="1" applyAlignment="1">
      <alignment horizontal="center" vertical="center"/>
    </xf>
    <xf numFmtId="2" fontId="60" fillId="0" borderId="4" xfId="0" applyNumberFormat="1" applyFont="1" applyBorder="1" applyAlignment="1">
      <alignment horizontal="center" vertical="center"/>
    </xf>
    <xf numFmtId="178" fontId="60" fillId="0" borderId="4" xfId="0" applyNumberFormat="1" applyFont="1" applyBorder="1" applyAlignment="1">
      <alignment horizontal="center" vertical="center"/>
    </xf>
    <xf numFmtId="166" fontId="60" fillId="0" borderId="4" xfId="0" applyNumberFormat="1" applyFont="1" applyBorder="1" applyAlignment="1">
      <alignment horizontal="center" vertical="center"/>
    </xf>
    <xf numFmtId="2" fontId="53" fillId="0" borderId="4" xfId="0" applyNumberFormat="1" applyFont="1" applyBorder="1" applyAlignment="1">
      <alignment horizontal="right" vertical="center" wrapText="1"/>
    </xf>
    <xf numFmtId="0" fontId="53" fillId="0" borderId="4" xfId="0" applyFont="1" applyBorder="1" applyAlignment="1">
      <alignment horizontal="right" vertical="center"/>
    </xf>
    <xf numFmtId="2" fontId="13" fillId="0" borderId="4" xfId="0" applyNumberFormat="1" applyFont="1" applyBorder="1" applyAlignment="1">
      <alignment horizontal="center" vertical="center" wrapText="1"/>
    </xf>
    <xf numFmtId="166" fontId="13" fillId="0" borderId="4" xfId="1" applyNumberFormat="1" applyFont="1" applyFill="1" applyBorder="1" applyAlignment="1">
      <alignment horizontal="center" vertical="center"/>
    </xf>
    <xf numFmtId="0" fontId="11" fillId="0" borderId="0" xfId="0" applyFont="1" applyBorder="1" applyAlignment="1">
      <alignment horizontal="left" vertical="center" wrapText="1"/>
    </xf>
    <xf numFmtId="0" fontId="13" fillId="0" borderId="4" xfId="0" applyFont="1" applyBorder="1" applyAlignment="1">
      <alignment horizontal="center" vertical="center"/>
    </xf>
    <xf numFmtId="0" fontId="59" fillId="0" borderId="5" xfId="0" applyFont="1" applyBorder="1" applyAlignment="1">
      <alignment horizontal="left" vertical="center" wrapText="1"/>
    </xf>
    <xf numFmtId="0" fontId="0" fillId="0" borderId="7" xfId="0" applyBorder="1"/>
    <xf numFmtId="0" fontId="0" fillId="0" borderId="3" xfId="0" applyBorder="1"/>
    <xf numFmtId="0" fontId="0" fillId="0" borderId="11" xfId="0" applyBorder="1"/>
    <xf numFmtId="0" fontId="0" fillId="0" borderId="2" xfId="0" applyBorder="1"/>
    <xf numFmtId="0" fontId="0" fillId="0" borderId="0" xfId="0" applyBorder="1"/>
    <xf numFmtId="0" fontId="48" fillId="0" borderId="0" xfId="0" applyFont="1" applyBorder="1" applyAlignment="1">
      <alignment vertical="center" wrapText="1"/>
    </xf>
    <xf numFmtId="0" fontId="0" fillId="0" borderId="12" xfId="0" applyBorder="1"/>
    <xf numFmtId="0" fontId="59" fillId="0" borderId="0" xfId="0" applyFont="1" applyBorder="1" applyAlignment="1">
      <alignment horizontal="left" vertical="center" wrapText="1"/>
    </xf>
    <xf numFmtId="1" fontId="0" fillId="0" borderId="0" xfId="0" applyNumberFormat="1" applyBorder="1"/>
    <xf numFmtId="0" fontId="0" fillId="0" borderId="0" xfId="0" applyBorder="1" applyAlignment="1">
      <alignment horizontal="center" vertical="center"/>
    </xf>
    <xf numFmtId="164" fontId="6" fillId="0" borderId="0" xfId="0" applyNumberFormat="1" applyFont="1" applyBorder="1" applyAlignment="1">
      <alignment horizontal="center" vertical="center"/>
    </xf>
    <xf numFmtId="0" fontId="11" fillId="0" borderId="0" xfId="0" applyFont="1" applyBorder="1" applyAlignment="1">
      <alignment wrapText="1"/>
    </xf>
    <xf numFmtId="0" fontId="0" fillId="0" borderId="9" xfId="0" applyBorder="1"/>
    <xf numFmtId="0" fontId="0" fillId="0" borderId="5" xfId="0" applyBorder="1"/>
    <xf numFmtId="0" fontId="0" fillId="0" borderId="13" xfId="0" applyBorder="1"/>
    <xf numFmtId="0" fontId="58" fillId="0" borderId="0" xfId="0" applyFont="1" applyFill="1" applyBorder="1" applyAlignment="1">
      <alignment horizontal="left" vertical="center" wrapText="1"/>
    </xf>
    <xf numFmtId="0" fontId="48" fillId="0" borderId="0" xfId="0" applyFont="1" applyBorder="1" applyAlignment="1">
      <alignment horizontal="center" vertical="center" wrapText="1"/>
    </xf>
    <xf numFmtId="0" fontId="48" fillId="0" borderId="7" xfId="0" applyFont="1" applyBorder="1" applyAlignment="1">
      <alignment horizontal="left" vertical="center" wrapText="1"/>
    </xf>
    <xf numFmtId="0" fontId="48" fillId="0" borderId="11" xfId="0" applyFont="1" applyBorder="1" applyAlignment="1">
      <alignment horizontal="left" vertical="center" wrapText="1"/>
    </xf>
    <xf numFmtId="0" fontId="48" fillId="0" borderId="2" xfId="0" applyFont="1" applyBorder="1" applyAlignment="1">
      <alignment horizontal="left" vertical="center" wrapText="1"/>
    </xf>
    <xf numFmtId="0" fontId="48" fillId="0" borderId="12" xfId="0" applyFont="1" applyBorder="1" applyAlignment="1">
      <alignment horizontal="left" vertical="center" wrapText="1"/>
    </xf>
    <xf numFmtId="0" fontId="48" fillId="0" borderId="9" xfId="0" applyFont="1" applyBorder="1" applyAlignment="1">
      <alignment horizontal="left" vertical="center" wrapText="1"/>
    </xf>
    <xf numFmtId="0" fontId="48" fillId="0" borderId="13" xfId="0" applyFont="1" applyBorder="1" applyAlignment="1">
      <alignment horizontal="left" vertical="center" wrapText="1"/>
    </xf>
    <xf numFmtId="0" fontId="56" fillId="18" borderId="5" xfId="0" applyFont="1" applyFill="1" applyBorder="1" applyAlignment="1"/>
    <xf numFmtId="0" fontId="23" fillId="13" borderId="6" xfId="0" applyFont="1" applyFill="1" applyBorder="1" applyAlignment="1">
      <alignment horizontal="center" vertical="center"/>
    </xf>
    <xf numFmtId="0" fontId="23" fillId="13" borderId="15" xfId="0" applyFont="1" applyFill="1" applyBorder="1" applyAlignment="1">
      <alignment horizontal="center" vertical="center"/>
    </xf>
    <xf numFmtId="11" fontId="6" fillId="0" borderId="6" xfId="0" applyNumberFormat="1" applyFont="1" applyBorder="1" applyAlignment="1">
      <alignment horizontal="center" vertical="center"/>
    </xf>
    <xf numFmtId="11" fontId="6" fillId="0" borderId="15" xfId="0" applyNumberFormat="1" applyFont="1" applyBorder="1" applyAlignment="1">
      <alignment horizontal="center" vertical="center"/>
    </xf>
    <xf numFmtId="0" fontId="60" fillId="0" borderId="6" xfId="0" applyFont="1" applyBorder="1" applyAlignment="1">
      <alignment horizontal="center" vertical="center"/>
    </xf>
    <xf numFmtId="0" fontId="60" fillId="0" borderId="15" xfId="0" applyFont="1" applyBorder="1" applyAlignment="1">
      <alignment horizontal="center" vertical="center"/>
    </xf>
    <xf numFmtId="0" fontId="0" fillId="0" borderId="2" xfId="0" applyBorder="1" applyAlignment="1">
      <alignment horizontal="left" vertical="top" wrapText="1"/>
    </xf>
    <xf numFmtId="9" fontId="0" fillId="0" borderId="0" xfId="2" applyFont="1"/>
    <xf numFmtId="165" fontId="42" fillId="0" borderId="7" xfId="0" applyNumberFormat="1" applyFont="1" applyBorder="1" applyAlignment="1">
      <alignment horizontal="center" vertical="center"/>
    </xf>
    <xf numFmtId="165" fontId="42" fillId="0" borderId="3" xfId="0" applyNumberFormat="1" applyFont="1" applyBorder="1" applyAlignment="1">
      <alignment horizontal="center" vertical="center"/>
    </xf>
    <xf numFmtId="165" fontId="42" fillId="0" borderId="11" xfId="0" applyNumberFormat="1" applyFont="1" applyBorder="1" applyAlignment="1">
      <alignment horizontal="center" vertical="center"/>
    </xf>
    <xf numFmtId="165" fontId="42" fillId="0" borderId="9" xfId="0" applyNumberFormat="1" applyFont="1" applyBorder="1" applyAlignment="1">
      <alignment horizontal="center" vertical="center"/>
    </xf>
    <xf numFmtId="165" fontId="42" fillId="0" borderId="5" xfId="0" applyNumberFormat="1" applyFont="1" applyBorder="1" applyAlignment="1">
      <alignment horizontal="center" vertical="center"/>
    </xf>
    <xf numFmtId="165" fontId="42" fillId="0" borderId="13" xfId="0" applyNumberFormat="1" applyFont="1" applyBorder="1" applyAlignment="1">
      <alignment horizontal="center" vertical="center"/>
    </xf>
    <xf numFmtId="0" fontId="4" fillId="0" borderId="4" xfId="0" applyFont="1" applyBorder="1" applyAlignment="1">
      <alignment horizontal="right" vertical="center"/>
    </xf>
    <xf numFmtId="2" fontId="4" fillId="0" borderId="4" xfId="0" applyNumberFormat="1" applyFont="1" applyBorder="1" applyAlignment="1">
      <alignment horizontal="right" vertical="center"/>
    </xf>
    <xf numFmtId="166" fontId="22" fillId="0" borderId="0" xfId="1" applyNumberFormat="1" applyFont="1" applyFill="1" applyBorder="1" applyAlignment="1">
      <alignment horizontal="center" vertical="center"/>
    </xf>
    <xf numFmtId="0" fontId="61" fillId="0" borderId="0" xfId="0" applyFont="1" applyBorder="1" applyAlignment="1">
      <alignment horizontal="center" vertical="center" wrapText="1"/>
    </xf>
    <xf numFmtId="0" fontId="61" fillId="0" borderId="5" xfId="0" applyFont="1" applyBorder="1" applyAlignment="1">
      <alignment horizontal="center" vertical="center" wrapText="1"/>
    </xf>
    <xf numFmtId="171" fontId="53" fillId="0" borderId="4" xfId="0" applyNumberFormat="1" applyFont="1" applyBorder="1" applyAlignment="1">
      <alignment horizontal="center" vertical="center"/>
    </xf>
    <xf numFmtId="171" fontId="60" fillId="0" borderId="4" xfId="0" applyNumberFormat="1" applyFont="1" applyBorder="1" applyAlignment="1">
      <alignment horizontal="center" vertical="center"/>
    </xf>
  </cellXfs>
  <cellStyles count="7">
    <cellStyle name="Comma" xfId="1" builtinId="3"/>
    <cellStyle name="Comma 2" xfId="5" xr:uid="{DED5B784-A124-48B6-BCCF-524A2BEC3A07}"/>
    <cellStyle name="Currency 2" xfId="6" xr:uid="{C2D58351-E7BA-43E9-800D-9BE20CDEAEA7}"/>
    <cellStyle name="Normal" xfId="0" builtinId="0"/>
    <cellStyle name="Normal 2" xfId="3" xr:uid="{94B90999-9E93-4679-9CB9-43C8DDDBCE27}"/>
    <cellStyle name="Normal 3" xfId="4" xr:uid="{890362CB-2BEC-4ACB-8539-E3742175F546}"/>
    <cellStyle name="Percent" xfId="2" builtinId="5"/>
  </cellStyles>
  <dxfs count="4">
    <dxf>
      <font>
        <color theme="0"/>
      </font>
      <fill>
        <patternFill>
          <bgColor rgb="FF00B0F0"/>
        </patternFill>
      </fill>
    </dxf>
    <dxf>
      <font>
        <color theme="0"/>
      </font>
      <fill>
        <patternFill>
          <bgColor rgb="FF00B0F0"/>
        </patternFill>
      </fill>
    </dxf>
    <dxf>
      <font>
        <color theme="0"/>
      </font>
      <fill>
        <patternFill>
          <bgColor rgb="FF00B0F0"/>
        </patternFill>
      </fill>
    </dxf>
    <dxf>
      <font>
        <color theme="0"/>
      </font>
      <fill>
        <patternFill>
          <bgColor rgb="FF00B0F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styles" Target="style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Upper</a:t>
            </a:r>
          </a:p>
        </c:rich>
      </c:tx>
      <c:overlay val="0"/>
      <c:spPr>
        <a:noFill/>
        <a:ln>
          <a:noFill/>
        </a:ln>
        <a:effectLst/>
      </c:spPr>
    </c:title>
    <c:autoTitleDeleted val="0"/>
    <c:plotArea>
      <c:layout>
        <c:manualLayout>
          <c:layoutTarget val="inner"/>
          <c:xMode val="edge"/>
          <c:yMode val="edge"/>
          <c:x val="0.11659065240930701"/>
          <c:y val="0.15245984784446326"/>
          <c:w val="0.80963658751763279"/>
          <c:h val="0.72445204704441535"/>
        </c:manualLayout>
      </c:layout>
      <c:scatterChart>
        <c:scatterStyle val="smoothMarker"/>
        <c:varyColors val="0"/>
        <c:ser>
          <c:idx val="0"/>
          <c:order val="0"/>
          <c:marker>
            <c:symbol val="none"/>
          </c:marker>
          <c:xVal>
            <c:numRef>
              <c:f>'Res Vol'!$J$13:$J$32</c:f>
              <c:numCache>
                <c:formatCode>#,##0.0;\-#,##0.0;\-</c:formatCode>
                <c:ptCount val="20"/>
                <c:pt idx="0">
                  <c:v>12365875.241061</c:v>
                </c:pt>
                <c:pt idx="1">
                  <c:v>10899667.500097999</c:v>
                </c:pt>
                <c:pt idx="2">
                  <c:v>9502636.3434720002</c:v>
                </c:pt>
                <c:pt idx="3">
                  <c:v>8259678.814708</c:v>
                </c:pt>
                <c:pt idx="4">
                  <c:v>7086569.7977259997</c:v>
                </c:pt>
                <c:pt idx="5">
                  <c:v>5958291.3034819998</c:v>
                </c:pt>
                <c:pt idx="6">
                  <c:v>4963086.097325</c:v>
                </c:pt>
                <c:pt idx="7">
                  <c:v>4079506.285557</c:v>
                </c:pt>
                <c:pt idx="8">
                  <c:v>3277252.9579699999</c:v>
                </c:pt>
                <c:pt idx="9">
                  <c:v>2626475.4087899998</c:v>
                </c:pt>
                <c:pt idx="10">
                  <c:v>2046862.370603</c:v>
                </c:pt>
                <c:pt idx="11">
                  <c:v>1575161.686554</c:v>
                </c:pt>
                <c:pt idx="12">
                  <c:v>1173750.9923099999</c:v>
                </c:pt>
                <c:pt idx="13">
                  <c:v>817220.22247299994</c:v>
                </c:pt>
                <c:pt idx="14">
                  <c:v>565285.14025900001</c:v>
                </c:pt>
                <c:pt idx="15">
                  <c:v>366519.23309300002</c:v>
                </c:pt>
                <c:pt idx="16">
                  <c:v>198353.53855900001</c:v>
                </c:pt>
                <c:pt idx="17">
                  <c:v>91399.976668999996</c:v>
                </c:pt>
                <c:pt idx="18">
                  <c:v>6515.6257480000004</c:v>
                </c:pt>
                <c:pt idx="19">
                  <c:v>0</c:v>
                </c:pt>
              </c:numCache>
            </c:numRef>
          </c:xVal>
          <c:yVal>
            <c:numRef>
              <c:f>'Res Vol'!$E$13:$E$32</c:f>
              <c:numCache>
                <c:formatCode>#,##0.0;\-#,##0.0;\-</c:formatCode>
                <c:ptCount val="20"/>
                <c:pt idx="0">
                  <c:v>320</c:v>
                </c:pt>
                <c:pt idx="1">
                  <c:v>315</c:v>
                </c:pt>
                <c:pt idx="2">
                  <c:v>310</c:v>
                </c:pt>
                <c:pt idx="3">
                  <c:v>305</c:v>
                </c:pt>
                <c:pt idx="4">
                  <c:v>300</c:v>
                </c:pt>
                <c:pt idx="5">
                  <c:v>295</c:v>
                </c:pt>
                <c:pt idx="6">
                  <c:v>290</c:v>
                </c:pt>
                <c:pt idx="7">
                  <c:v>285</c:v>
                </c:pt>
                <c:pt idx="8">
                  <c:v>280</c:v>
                </c:pt>
                <c:pt idx="9">
                  <c:v>275</c:v>
                </c:pt>
                <c:pt idx="10">
                  <c:v>270</c:v>
                </c:pt>
                <c:pt idx="11">
                  <c:v>265</c:v>
                </c:pt>
                <c:pt idx="12">
                  <c:v>260</c:v>
                </c:pt>
                <c:pt idx="13">
                  <c:v>255</c:v>
                </c:pt>
                <c:pt idx="14">
                  <c:v>250</c:v>
                </c:pt>
                <c:pt idx="15">
                  <c:v>245</c:v>
                </c:pt>
                <c:pt idx="16">
                  <c:v>240</c:v>
                </c:pt>
                <c:pt idx="17">
                  <c:v>235</c:v>
                </c:pt>
                <c:pt idx="18">
                  <c:v>230</c:v>
                </c:pt>
                <c:pt idx="19">
                  <c:v>225</c:v>
                </c:pt>
              </c:numCache>
            </c:numRef>
          </c:yVal>
          <c:smooth val="1"/>
          <c:extLst>
            <c:ext xmlns:c16="http://schemas.microsoft.com/office/drawing/2014/chart" uri="{C3380CC4-5D6E-409C-BE32-E72D297353CC}">
              <c16:uniqueId val="{00000000-6A08-464B-9497-C2FA5F88FAD7}"/>
            </c:ext>
          </c:extLst>
        </c:ser>
        <c:ser>
          <c:idx val="2"/>
          <c:order val="1"/>
          <c:marker>
            <c:symbol val="none"/>
          </c:marker>
          <c:xVal>
            <c:numRef>
              <c:f>'Res Vol'!$G$13:$G$32</c:f>
              <c:numCache>
                <c:formatCode>#,##0.0;\-#,##0.0;\-</c:formatCode>
                <c:ptCount val="20"/>
                <c:pt idx="0">
                  <c:v>12365875.241061</c:v>
                </c:pt>
                <c:pt idx="1">
                  <c:v>10899667.500097999</c:v>
                </c:pt>
                <c:pt idx="2">
                  <c:v>9502636.3434720002</c:v>
                </c:pt>
                <c:pt idx="3">
                  <c:v>8259678.814708</c:v>
                </c:pt>
                <c:pt idx="4">
                  <c:v>7086569.7977259997</c:v>
                </c:pt>
                <c:pt idx="5">
                  <c:v>5958291.3034819998</c:v>
                </c:pt>
                <c:pt idx="6">
                  <c:v>4963086.097325</c:v>
                </c:pt>
                <c:pt idx="7">
                  <c:v>4079506.285557</c:v>
                </c:pt>
                <c:pt idx="8">
                  <c:v>3277252.9579699999</c:v>
                </c:pt>
                <c:pt idx="9">
                  <c:v>2626475.4087899998</c:v>
                </c:pt>
                <c:pt idx="10">
                  <c:v>2046862.370603</c:v>
                </c:pt>
                <c:pt idx="11">
                  <c:v>1575161.686554</c:v>
                </c:pt>
                <c:pt idx="12">
                  <c:v>1173750.9923099999</c:v>
                </c:pt>
                <c:pt idx="13">
                  <c:v>817220.22247299994</c:v>
                </c:pt>
                <c:pt idx="14">
                  <c:v>565285.14025900001</c:v>
                </c:pt>
                <c:pt idx="15">
                  <c:v>366519.23309300002</c:v>
                </c:pt>
                <c:pt idx="16">
                  <c:v>198353.53855900001</c:v>
                </c:pt>
                <c:pt idx="17">
                  <c:v>91399.976668999996</c:v>
                </c:pt>
                <c:pt idx="18">
                  <c:v>6515.6257480000004</c:v>
                </c:pt>
                <c:pt idx="19">
                  <c:v>0</c:v>
                </c:pt>
              </c:numCache>
            </c:numRef>
          </c:xVal>
          <c:yVal>
            <c:numRef>
              <c:f>'Res Vol'!$E$13:$E$32</c:f>
              <c:numCache>
                <c:formatCode>#,##0.0;\-#,##0.0;\-</c:formatCode>
                <c:ptCount val="20"/>
                <c:pt idx="0">
                  <c:v>320</c:v>
                </c:pt>
                <c:pt idx="1">
                  <c:v>315</c:v>
                </c:pt>
                <c:pt idx="2">
                  <c:v>310</c:v>
                </c:pt>
                <c:pt idx="3">
                  <c:v>305</c:v>
                </c:pt>
                <c:pt idx="4">
                  <c:v>300</c:v>
                </c:pt>
                <c:pt idx="5">
                  <c:v>295</c:v>
                </c:pt>
                <c:pt idx="6">
                  <c:v>290</c:v>
                </c:pt>
                <c:pt idx="7">
                  <c:v>285</c:v>
                </c:pt>
                <c:pt idx="8">
                  <c:v>280</c:v>
                </c:pt>
                <c:pt idx="9">
                  <c:v>275</c:v>
                </c:pt>
                <c:pt idx="10">
                  <c:v>270</c:v>
                </c:pt>
                <c:pt idx="11">
                  <c:v>265</c:v>
                </c:pt>
                <c:pt idx="12">
                  <c:v>260</c:v>
                </c:pt>
                <c:pt idx="13">
                  <c:v>255</c:v>
                </c:pt>
                <c:pt idx="14">
                  <c:v>250</c:v>
                </c:pt>
                <c:pt idx="15">
                  <c:v>245</c:v>
                </c:pt>
                <c:pt idx="16">
                  <c:v>240</c:v>
                </c:pt>
                <c:pt idx="17">
                  <c:v>235</c:v>
                </c:pt>
                <c:pt idx="18">
                  <c:v>230</c:v>
                </c:pt>
                <c:pt idx="19">
                  <c:v>225</c:v>
                </c:pt>
              </c:numCache>
            </c:numRef>
          </c:yVal>
          <c:smooth val="1"/>
          <c:extLst>
            <c:ext xmlns:c16="http://schemas.microsoft.com/office/drawing/2014/chart" uri="{C3380CC4-5D6E-409C-BE32-E72D297353CC}">
              <c16:uniqueId val="{00000001-6A08-464B-9497-C2FA5F88FAD7}"/>
            </c:ext>
          </c:extLst>
        </c:ser>
        <c:dLbls>
          <c:showLegendKey val="0"/>
          <c:showVal val="0"/>
          <c:showCatName val="0"/>
          <c:showSerName val="0"/>
          <c:showPercent val="0"/>
          <c:showBubbleSize val="0"/>
        </c:dLbls>
        <c:axId val="640891200"/>
        <c:axId val="640891680"/>
      </c:scatterChart>
      <c:valAx>
        <c:axId val="640891200"/>
        <c:scaling>
          <c:orientation val="minMax"/>
          <c:max val="8000000"/>
          <c:min val="0"/>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891680"/>
        <c:crosses val="autoZero"/>
        <c:crossBetween val="midCat"/>
        <c:dispUnits>
          <c:builtInUnit val="million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valAx>
        <c:axId val="640891680"/>
        <c:scaling>
          <c:orientation val="minMax"/>
          <c:max val="300"/>
          <c:min val="2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891200"/>
        <c:crosses val="autoZero"/>
        <c:crossBetween val="midCat"/>
      </c:valAx>
    </c:plotArea>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Lower</a:t>
            </a:r>
          </a:p>
        </c:rich>
      </c:tx>
      <c:overlay val="0"/>
      <c:spPr>
        <a:noFill/>
        <a:ln>
          <a:noFill/>
        </a:ln>
        <a:effectLst/>
      </c:spPr>
    </c:title>
    <c:autoTitleDeleted val="0"/>
    <c:plotArea>
      <c:layout>
        <c:manualLayout>
          <c:layoutTarget val="inner"/>
          <c:xMode val="edge"/>
          <c:yMode val="edge"/>
          <c:x val="0.11870373602940136"/>
          <c:y val="0.12540997464074388"/>
          <c:w val="0.80963658751763279"/>
          <c:h val="0.72445204704441535"/>
        </c:manualLayout>
      </c:layout>
      <c:scatterChart>
        <c:scatterStyle val="smoothMarker"/>
        <c:varyColors val="0"/>
        <c:ser>
          <c:idx val="0"/>
          <c:order val="0"/>
          <c:spPr>
            <a:ln w="19050" cap="rnd">
              <a:solidFill>
                <a:schemeClr val="accent1"/>
              </a:solidFill>
              <a:round/>
            </a:ln>
            <a:effectLst/>
          </c:spPr>
          <c:marker>
            <c:symbol val="none"/>
          </c:marker>
          <c:xVal>
            <c:numRef>
              <c:f>'Res Vol'!$S$5:$S$16</c:f>
              <c:numCache>
                <c:formatCode>#,##0.0;\-#,##0.0;\-</c:formatCode>
                <c:ptCount val="12"/>
                <c:pt idx="0">
                  <c:v>10000000</c:v>
                </c:pt>
                <c:pt idx="1">
                  <c:v>7000000</c:v>
                </c:pt>
                <c:pt idx="2">
                  <c:v>4977061.9087239997</c:v>
                </c:pt>
                <c:pt idx="3">
                  <c:v>4039600.8550669998</c:v>
                </c:pt>
                <c:pt idx="4">
                  <c:v>3255642.2479810002</c:v>
                </c:pt>
                <c:pt idx="5">
                  <c:v>2527796.3137449999</c:v>
                </c:pt>
                <c:pt idx="6">
                  <c:v>1879396.1658749999</c:v>
                </c:pt>
                <c:pt idx="7">
                  <c:v>1282028.8739680001</c:v>
                </c:pt>
                <c:pt idx="8">
                  <c:v>758076.63636200002</c:v>
                </c:pt>
                <c:pt idx="9">
                  <c:v>281725.765564</c:v>
                </c:pt>
                <c:pt idx="10">
                  <c:v>129246.021802</c:v>
                </c:pt>
                <c:pt idx="11">
                  <c:v>0</c:v>
                </c:pt>
              </c:numCache>
            </c:numRef>
          </c:xVal>
          <c:yVal>
            <c:numRef>
              <c:f>'Res Vol'!$N$5:$N$16</c:f>
              <c:numCache>
                <c:formatCode>#,##0.0;\-#,##0.0;\-</c:formatCode>
                <c:ptCount val="12"/>
                <c:pt idx="0">
                  <c:v>155</c:v>
                </c:pt>
                <c:pt idx="1">
                  <c:v>150</c:v>
                </c:pt>
                <c:pt idx="2">
                  <c:v>145</c:v>
                </c:pt>
                <c:pt idx="3">
                  <c:v>140</c:v>
                </c:pt>
                <c:pt idx="4">
                  <c:v>135</c:v>
                </c:pt>
                <c:pt idx="5">
                  <c:v>130</c:v>
                </c:pt>
                <c:pt idx="6">
                  <c:v>125</c:v>
                </c:pt>
                <c:pt idx="7">
                  <c:v>120</c:v>
                </c:pt>
                <c:pt idx="8">
                  <c:v>115</c:v>
                </c:pt>
                <c:pt idx="9">
                  <c:v>110</c:v>
                </c:pt>
                <c:pt idx="10">
                  <c:v>105</c:v>
                </c:pt>
                <c:pt idx="11">
                  <c:v>100</c:v>
                </c:pt>
              </c:numCache>
            </c:numRef>
          </c:yVal>
          <c:smooth val="1"/>
          <c:extLst>
            <c:ext xmlns:c16="http://schemas.microsoft.com/office/drawing/2014/chart" uri="{C3380CC4-5D6E-409C-BE32-E72D297353CC}">
              <c16:uniqueId val="{00000000-7E08-449B-9CFB-F4AE533BE2DE}"/>
            </c:ext>
          </c:extLst>
        </c:ser>
        <c:dLbls>
          <c:showLegendKey val="0"/>
          <c:showVal val="0"/>
          <c:showCatName val="0"/>
          <c:showSerName val="0"/>
          <c:showPercent val="0"/>
          <c:showBubbleSize val="0"/>
        </c:dLbls>
        <c:axId val="640891200"/>
        <c:axId val="640891680"/>
      </c:scatterChart>
      <c:valAx>
        <c:axId val="640891200"/>
        <c:scaling>
          <c:orientation val="minMax"/>
          <c:max val="5000000"/>
          <c:min val="0"/>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891680"/>
        <c:crosses val="autoZero"/>
        <c:crossBetween val="midCat"/>
        <c:dispUnits>
          <c:builtInUnit val="million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valAx>
        <c:axId val="640891680"/>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891200"/>
        <c:crosses val="autoZero"/>
        <c:crossBetween val="midCat"/>
      </c:valAx>
    </c:plotArea>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'Dam VOl'!$D$3:$D$11</c:f>
              <c:numCache>
                <c:formatCode>#,##0.0;\-#,##0.0;\-</c:formatCode>
                <c:ptCount val="9"/>
                <c:pt idx="0">
                  <c:v>1801599.9104869999</c:v>
                </c:pt>
                <c:pt idx="1">
                  <c:v>1251548.389857</c:v>
                </c:pt>
                <c:pt idx="2">
                  <c:v>828646.49299299996</c:v>
                </c:pt>
                <c:pt idx="3">
                  <c:v>514019.77745599998</c:v>
                </c:pt>
                <c:pt idx="4">
                  <c:v>289534.590486</c:v>
                </c:pt>
                <c:pt idx="5">
                  <c:v>142160.06714100001</c:v>
                </c:pt>
                <c:pt idx="6">
                  <c:v>56908.653401000003</c:v>
                </c:pt>
                <c:pt idx="7">
                  <c:v>14345.513342</c:v>
                </c:pt>
              </c:numCache>
            </c:numRef>
          </c:xVal>
          <c:yVal>
            <c:numRef>
              <c:f>'Dam VOl'!$F$3:$F$11</c:f>
              <c:numCache>
                <c:formatCode>#,##0.0;\-#,##0.0;\-</c:formatCode>
                <c:ptCount val="9"/>
                <c:pt idx="0">
                  <c:v>335</c:v>
                </c:pt>
                <c:pt idx="1">
                  <c:v>325</c:v>
                </c:pt>
                <c:pt idx="2">
                  <c:v>315</c:v>
                </c:pt>
                <c:pt idx="3">
                  <c:v>305</c:v>
                </c:pt>
                <c:pt idx="4">
                  <c:v>295</c:v>
                </c:pt>
                <c:pt idx="5">
                  <c:v>285</c:v>
                </c:pt>
                <c:pt idx="6">
                  <c:v>275</c:v>
                </c:pt>
                <c:pt idx="7">
                  <c:v>265</c:v>
                </c:pt>
              </c:numCache>
            </c:numRef>
          </c:yVal>
          <c:smooth val="1"/>
          <c:extLst>
            <c:ext xmlns:c16="http://schemas.microsoft.com/office/drawing/2014/chart" uri="{C3380CC4-5D6E-409C-BE32-E72D297353CC}">
              <c16:uniqueId val="{00000000-6C46-4287-A7C4-5ED30231E4BD}"/>
            </c:ext>
          </c:extLst>
        </c:ser>
        <c:dLbls>
          <c:showLegendKey val="0"/>
          <c:showVal val="0"/>
          <c:showCatName val="0"/>
          <c:showSerName val="0"/>
          <c:showPercent val="0"/>
          <c:showBubbleSize val="0"/>
        </c:dLbls>
        <c:axId val="60564256"/>
        <c:axId val="60564736"/>
      </c:scatterChart>
      <c:valAx>
        <c:axId val="60564256"/>
        <c:scaling>
          <c:orientation val="minMax"/>
        </c:scaling>
        <c:delete val="0"/>
        <c:axPos val="b"/>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564736"/>
        <c:crosses val="autoZero"/>
        <c:crossBetween val="midCat"/>
        <c:dispUnits>
          <c:builtInUnit val="million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valAx>
        <c:axId val="60564736"/>
        <c:scaling>
          <c:orientation val="minMax"/>
          <c:min val="25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5642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336</xdr:row>
      <xdr:rowOff>165652</xdr:rowOff>
    </xdr:from>
    <xdr:to>
      <xdr:col>10</xdr:col>
      <xdr:colOff>525996</xdr:colOff>
      <xdr:row>362</xdr:row>
      <xdr:rowOff>180308</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499100" y="55963102"/>
          <a:ext cx="5533568" cy="48025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248477</xdr:colOff>
          <xdr:row>10</xdr:row>
          <xdr:rowOff>22087</xdr:rowOff>
        </xdr:from>
        <xdr:to>
          <xdr:col>12</xdr:col>
          <xdr:colOff>201819</xdr:colOff>
          <xdr:row>12</xdr:row>
          <xdr:rowOff>123686</xdr:rowOff>
        </xdr:to>
        <xdr:sp macro="" textlink="">
          <xdr:nvSpPr>
            <xdr:cNvPr id="53610" name="Button 362" hidden="1">
              <a:extLst>
                <a:ext uri="{63B3BB69-23CF-44E3-9099-C40C66FF867C}">
                  <a14:compatExt spid="_x0000_s53610"/>
                </a:ext>
                <a:ext uri="{FF2B5EF4-FFF2-40B4-BE49-F238E27FC236}">
                  <a16:creationId xmlns:a16="http://schemas.microsoft.com/office/drawing/2014/main" id="{00000000-0008-0000-0100-00006AD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100" b="0" i="0" u="none" strike="noStrike" baseline="0">
                  <a:solidFill>
                    <a:srgbClr val="000000"/>
                  </a:solidFill>
                  <a:latin typeface="Calibri"/>
                  <a:ea typeface="Calibri"/>
                  <a:cs typeface="Calibri"/>
                </a:rPr>
                <a:t>Run script</a:t>
              </a:r>
            </a:p>
          </xdr:txBody>
        </xdr:sp>
        <xdr:clientData fPrintsWithSheet="0"/>
      </xdr:twoCellAnchor>
    </mc:Choice>
    <mc:Fallback/>
  </mc:AlternateContent>
  <xdr:twoCellAnchor editAs="oneCell">
    <xdr:from>
      <xdr:col>5</xdr:col>
      <xdr:colOff>917160</xdr:colOff>
      <xdr:row>47</xdr:row>
      <xdr:rowOff>200717</xdr:rowOff>
    </xdr:from>
    <xdr:to>
      <xdr:col>14</xdr:col>
      <xdr:colOff>530086</xdr:colOff>
      <xdr:row>56</xdr:row>
      <xdr:rowOff>141634</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52943" y="9007891"/>
          <a:ext cx="7023100" cy="2922656"/>
        </a:xfrm>
        <a:prstGeom prst="rect">
          <a:avLst/>
        </a:prstGeom>
        <a:solidFill>
          <a:schemeClr val="bg1"/>
        </a:solidFill>
      </xdr:spPr>
    </xdr:pic>
    <xdr:clientData/>
  </xdr:twoCellAnchor>
  <xdr:twoCellAnchor>
    <xdr:from>
      <xdr:col>8</xdr:col>
      <xdr:colOff>270564</xdr:colOff>
      <xdr:row>13</xdr:row>
      <xdr:rowOff>33132</xdr:rowOff>
    </xdr:from>
    <xdr:to>
      <xdr:col>8</xdr:col>
      <xdr:colOff>502478</xdr:colOff>
      <xdr:row>16</xdr:row>
      <xdr:rowOff>160131</xdr:rowOff>
    </xdr:to>
    <xdr:sp macro="" textlink="">
      <xdr:nvSpPr>
        <xdr:cNvPr id="3" name="Arrow: Up 2">
          <a:extLst>
            <a:ext uri="{FF2B5EF4-FFF2-40B4-BE49-F238E27FC236}">
              <a16:creationId xmlns:a16="http://schemas.microsoft.com/office/drawing/2014/main" id="{72B048B0-F166-F2A7-A297-07679CDB64AA}"/>
            </a:ext>
          </a:extLst>
        </xdr:cNvPr>
        <xdr:cNvSpPr/>
      </xdr:nvSpPr>
      <xdr:spPr>
        <a:xfrm>
          <a:off x="6968434" y="2401958"/>
          <a:ext cx="231914" cy="673651"/>
        </a:xfrm>
        <a:prstGeom prst="up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9</xdr:col>
      <xdr:colOff>191051</xdr:colOff>
      <xdr:row>5</xdr:row>
      <xdr:rowOff>168966</xdr:rowOff>
    </xdr:from>
    <xdr:to>
      <xdr:col>9</xdr:col>
      <xdr:colOff>864702</xdr:colOff>
      <xdr:row>7</xdr:row>
      <xdr:rowOff>36445</xdr:rowOff>
    </xdr:to>
    <xdr:sp macro="" textlink="">
      <xdr:nvSpPr>
        <xdr:cNvPr id="4" name="Arrow: Up 3">
          <a:extLst>
            <a:ext uri="{FF2B5EF4-FFF2-40B4-BE49-F238E27FC236}">
              <a16:creationId xmlns:a16="http://schemas.microsoft.com/office/drawing/2014/main" id="{439CDB1F-505F-452E-824B-F8611DFD5F37}"/>
            </a:ext>
          </a:extLst>
        </xdr:cNvPr>
        <xdr:cNvSpPr/>
      </xdr:nvSpPr>
      <xdr:spPr>
        <a:xfrm rot="16200000">
          <a:off x="7960137" y="859184"/>
          <a:ext cx="231914" cy="673651"/>
        </a:xfrm>
        <a:prstGeom prst="up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0</xdr:colOff>
      <xdr:row>303</xdr:row>
      <xdr:rowOff>165652</xdr:rowOff>
    </xdr:from>
    <xdr:to>
      <xdr:col>15</xdr:col>
      <xdr:colOff>199568</xdr:colOff>
      <xdr:row>329</xdr:row>
      <xdr:rowOff>180308</xdr:rowOff>
    </xdr:to>
    <xdr:pic>
      <xdr:nvPicPr>
        <xdr:cNvPr id="5" name="Picture 4">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37478" y="7851913"/>
          <a:ext cx="5529411" cy="47523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6</xdr:col>
      <xdr:colOff>577850</xdr:colOff>
      <xdr:row>8</xdr:row>
      <xdr:rowOff>110572</xdr:rowOff>
    </xdr:from>
    <xdr:to>
      <xdr:col>13</xdr:col>
      <xdr:colOff>590550</xdr:colOff>
      <xdr:row>31</xdr:row>
      <xdr:rowOff>101599</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311150</xdr:colOff>
      <xdr:row>34</xdr:row>
      <xdr:rowOff>146050</xdr:rowOff>
    </xdr:from>
    <xdr:to>
      <xdr:col>22</xdr:col>
      <xdr:colOff>333376</xdr:colOff>
      <xdr:row>64</xdr:row>
      <xdr:rowOff>31750</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14</xdr:col>
      <xdr:colOff>111124</xdr:colOff>
      <xdr:row>3</xdr:row>
      <xdr:rowOff>28574</xdr:rowOff>
    </xdr:from>
    <xdr:to>
      <xdr:col>23</xdr:col>
      <xdr:colOff>44449</xdr:colOff>
      <xdr:row>25</xdr:row>
      <xdr:rowOff>165099</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Jeremy Kent-Johnston" id="{97FE67F7-C3FB-4EE2-92EC-4D90ABE2B3D5}" userId="S::jeremykj@australianhydro.com::5e2ff78c-5423-450b-9f15-b78208f1a3b9" providerId="AD"/>
  <person displayName="Jeremy KENT-JOHNSTON" id="{5883D750-6011-4ACC-A923-CFF62B545F8C}" userId="S::Jeremy.Kent-Johnston@smec.com::4aef0407-2252-4d60-8a4f-f0edea34d87f"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3" dT="2023-10-17T20:51:53.43" personId="{97FE67F7-C3FB-4EE2-92EC-4D90ABE2B3D5}" id="{058F9A19-E061-4084-9875-4FC537AC06FC}">
    <text>% of gross head...</text>
  </threadedComment>
  <threadedComment ref="E37" dT="2023-10-17T21:03:56.67" personId="{97FE67F7-C3FB-4EE2-92EC-4D90ABE2B3D5}" id="{ACE3B61D-522F-451E-A971-769A199F0412}">
    <text>Head loss can be estimated for other fows based on Hl = kQ^2</text>
  </threadedComment>
  <threadedComment ref="C40" dT="2023-10-12T15:26:48.42" personId="{97FE67F7-C3FB-4EE2-92EC-4D90ABE2B3D5}" id="{B11659F1-44AD-4A43-842E-C8E9E813F3FB}">
    <text xml:space="preserve">The flows are set by the initial live volume
</text>
  </threadedComment>
  <threadedComment ref="I40" dT="2023-10-12T15:26:48.42" personId="{97FE67F7-C3FB-4EE2-92EC-4D90ABE2B3D5}" id="{FC5F4585-1835-4B31-8196-4342D3CAB6DD}">
    <text xml:space="preserve">The flows are set by the initial live volume
</text>
  </threadedComment>
  <threadedComment ref="K40" dT="2023-10-12T15:26:48.42" personId="{97FE67F7-C3FB-4EE2-92EC-4D90ABE2B3D5}" id="{39F80DC1-AA96-471D-8706-FC3C8DCB35A8}">
    <text xml:space="preserve">The flows are set by the initial live volume
</text>
  </threadedComment>
  <threadedComment ref="H45" dT="2023-10-17T21:04:23.90" personId="{97FE67F7-C3FB-4EE2-92EC-4D90ABE2B3D5}" id="{934FA245-3006-400D-9BE4-5710D532735E}">
    <text>Based on calculated relationship</text>
  </threadedComment>
</ThreadedComments>
</file>

<file path=xl/threadedComments/threadedComment2.xml><?xml version="1.0" encoding="utf-8"?>
<ThreadedComments xmlns="http://schemas.microsoft.com/office/spreadsheetml/2018/threadedcomments" xmlns:x="http://schemas.openxmlformats.org/spreadsheetml/2006/main">
  <threadedComment ref="D57" dT="2020-01-09T22:51:02.78" personId="{5883D750-6011-4ACC-A923-CFF62B545F8C}" id="{62131A8C-EEEA-4047-86B4-07A0E9DEE0AD}">
    <text>Turbine setting (m) below min tailwater</text>
  </threadedComment>
  <threadedComment ref="D73" dT="2020-01-09T22:56:10.20" personId="{5883D750-6011-4ACC-A923-CFF62B545F8C}" id="{EAF14093-054E-4291-886C-35DE0D13E1AE}">
    <text>Outage rate %, unplanned and planned</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F3670-5675-4B15-AFF9-360B9B14A808}">
  <sheetPr codeName="Sheet33"/>
  <dimension ref="A1:AP107"/>
  <sheetViews>
    <sheetView zoomScale="145" zoomScaleNormal="145" workbookViewId="0">
      <selection activeCell="C2" sqref="A1:C1048576"/>
    </sheetView>
  </sheetViews>
  <sheetFormatPr defaultRowHeight="14.5" outlineLevelCol="1" x14ac:dyDescent="0.35"/>
  <cols>
    <col min="1" max="1" width="37.7265625" customWidth="1"/>
    <col min="2" max="2" width="11.7265625" bestFit="1" customWidth="1"/>
    <col min="3" max="3" width="10.54296875" customWidth="1" outlineLevel="1"/>
    <col min="4" max="4" width="11.08984375" customWidth="1" outlineLevel="1"/>
    <col min="5" max="5" width="10.7265625" customWidth="1" outlineLevel="1"/>
    <col min="6" max="6" width="10.81640625" customWidth="1" outlineLevel="1"/>
    <col min="7" max="7" width="10.1796875" customWidth="1" outlineLevel="1"/>
    <col min="8" max="8" width="9.26953125" customWidth="1" outlineLevel="1"/>
    <col min="9" max="9" width="10.1796875" customWidth="1" outlineLevel="1"/>
    <col min="10" max="11" width="9.26953125" customWidth="1" outlineLevel="1"/>
    <col min="12" max="12" width="7.90625" customWidth="1"/>
    <col min="13" max="13" width="10.54296875" customWidth="1"/>
    <col min="14" max="14" width="11.08984375" customWidth="1"/>
    <col min="15" max="15" width="10.54296875" customWidth="1"/>
    <col min="16" max="16" width="11.08984375" customWidth="1"/>
    <col min="17" max="18" width="7.90625" bestFit="1" customWidth="1"/>
    <col min="19" max="20" width="7.6328125" bestFit="1" customWidth="1"/>
    <col min="21" max="21" width="17.08984375" bestFit="1" customWidth="1"/>
    <col min="22" max="23" width="7.6328125" bestFit="1" customWidth="1"/>
    <col min="24" max="24" width="10.26953125" bestFit="1" customWidth="1"/>
    <col min="25" max="25" width="9.90625" bestFit="1" customWidth="1"/>
    <col min="26" max="26" width="10.26953125" bestFit="1" customWidth="1"/>
    <col min="27" max="27" width="10.26953125" customWidth="1"/>
    <col min="28" max="28" width="12.6328125" customWidth="1"/>
    <col min="29" max="29" width="37.7265625" customWidth="1"/>
    <col min="30" max="33" width="7.6328125" bestFit="1" customWidth="1"/>
    <col min="34" max="35" width="7.6328125" customWidth="1"/>
    <col min="36" max="36" width="8.453125" customWidth="1"/>
    <col min="37" max="38" width="13" customWidth="1"/>
    <col min="39" max="56" width="11.81640625" bestFit="1" customWidth="1"/>
    <col min="57" max="57" width="10.81640625" bestFit="1" customWidth="1"/>
    <col min="58" max="72" width="11.81640625" bestFit="1" customWidth="1"/>
    <col min="73" max="73" width="10.81640625" bestFit="1" customWidth="1"/>
  </cols>
  <sheetData>
    <row r="1" spans="1:42" x14ac:dyDescent="0.35">
      <c r="B1" s="83" t="s">
        <v>171</v>
      </c>
      <c r="C1" s="199"/>
      <c r="D1" s="200"/>
      <c r="E1" s="200"/>
      <c r="F1" s="201"/>
      <c r="G1" s="94"/>
      <c r="H1" s="94"/>
      <c r="I1" s="94"/>
      <c r="J1" s="94"/>
    </row>
    <row r="2" spans="1:42" x14ac:dyDescent="0.35">
      <c r="B2" s="85" t="s">
        <v>0</v>
      </c>
      <c r="C2" s="93" t="s">
        <v>146</v>
      </c>
      <c r="D2" s="93" t="s">
        <v>146</v>
      </c>
      <c r="E2" s="93" t="s">
        <v>146</v>
      </c>
      <c r="F2" s="93" t="s">
        <v>146</v>
      </c>
      <c r="G2" s="93" t="s">
        <v>146</v>
      </c>
      <c r="H2" s="93" t="s">
        <v>146</v>
      </c>
      <c r="I2" s="105" t="s">
        <v>182</v>
      </c>
      <c r="J2" s="105" t="s">
        <v>182</v>
      </c>
      <c r="M2" s="69" t="s">
        <v>195</v>
      </c>
      <c r="N2" s="69" t="s">
        <v>195</v>
      </c>
      <c r="O2" s="69" t="s">
        <v>195</v>
      </c>
      <c r="P2" s="69" t="s">
        <v>195</v>
      </c>
    </row>
    <row r="3" spans="1:42" s="35" customFormat="1" x14ac:dyDescent="0.35">
      <c r="B3" s="85" t="s">
        <v>134</v>
      </c>
      <c r="C3" s="105" t="s">
        <v>182</v>
      </c>
      <c r="D3" s="105" t="s">
        <v>182</v>
      </c>
      <c r="E3" s="105" t="s">
        <v>182</v>
      </c>
      <c r="F3" s="105" t="s">
        <v>182</v>
      </c>
      <c r="G3" s="105" t="s">
        <v>182</v>
      </c>
      <c r="H3" s="105" t="s">
        <v>182</v>
      </c>
      <c r="I3" s="93" t="s">
        <v>146</v>
      </c>
      <c r="J3" s="93" t="s">
        <v>146</v>
      </c>
      <c r="K3"/>
      <c r="L3"/>
      <c r="M3" s="105" t="s">
        <v>182</v>
      </c>
      <c r="N3" s="105" t="s">
        <v>182</v>
      </c>
      <c r="O3" s="105"/>
      <c r="P3" s="105"/>
      <c r="Q3"/>
      <c r="R3"/>
      <c r="S3"/>
      <c r="T3"/>
      <c r="U3"/>
      <c r="V3"/>
      <c r="W3"/>
      <c r="X3"/>
      <c r="Y3"/>
      <c r="Z3"/>
      <c r="AA3"/>
      <c r="AB3"/>
      <c r="AC3"/>
      <c r="AD3"/>
      <c r="AE3"/>
      <c r="AF3"/>
      <c r="AG3"/>
      <c r="AH3"/>
      <c r="AI3"/>
      <c r="AJ3"/>
      <c r="AK3"/>
      <c r="AL3"/>
      <c r="AM3"/>
      <c r="AN3"/>
      <c r="AO3"/>
      <c r="AP3"/>
    </row>
    <row r="4" spans="1:42" x14ac:dyDescent="0.35">
      <c r="B4" s="85" t="s">
        <v>163</v>
      </c>
      <c r="C4" s="93" t="s">
        <v>166</v>
      </c>
      <c r="D4" s="93" t="s">
        <v>166</v>
      </c>
      <c r="E4" s="93" t="s">
        <v>167</v>
      </c>
      <c r="F4" s="93" t="s">
        <v>167</v>
      </c>
      <c r="G4" s="115"/>
      <c r="H4" s="115"/>
      <c r="I4" s="115"/>
      <c r="J4" s="115"/>
      <c r="M4" s="93"/>
      <c r="N4" s="93"/>
      <c r="O4" s="93"/>
      <c r="P4" s="93"/>
    </row>
    <row r="5" spans="1:42" s="35" customFormat="1" x14ac:dyDescent="0.35">
      <c r="B5" s="85" t="s">
        <v>106</v>
      </c>
      <c r="C5" s="89" t="s">
        <v>66</v>
      </c>
      <c r="D5" s="89" t="s">
        <v>66</v>
      </c>
      <c r="E5" s="89" t="s">
        <v>66</v>
      </c>
      <c r="F5" s="89" t="s">
        <v>66</v>
      </c>
      <c r="G5" s="89" t="s">
        <v>66</v>
      </c>
      <c r="H5" s="89" t="s">
        <v>66</v>
      </c>
      <c r="I5" s="89" t="s">
        <v>66</v>
      </c>
      <c r="J5" s="89" t="s">
        <v>66</v>
      </c>
      <c r="K5"/>
      <c r="L5"/>
      <c r="M5" s="89" t="s">
        <v>66</v>
      </c>
      <c r="N5" s="89" t="s">
        <v>66</v>
      </c>
      <c r="O5" s="89" t="s">
        <v>66</v>
      </c>
      <c r="P5" s="89" t="s">
        <v>66</v>
      </c>
      <c r="Q5"/>
      <c r="R5"/>
      <c r="S5"/>
      <c r="T5"/>
      <c r="U5"/>
      <c r="V5"/>
      <c r="W5"/>
      <c r="X5"/>
      <c r="Y5"/>
      <c r="Z5"/>
      <c r="AA5"/>
      <c r="AB5"/>
      <c r="AC5"/>
      <c r="AD5"/>
      <c r="AE5"/>
      <c r="AF5"/>
      <c r="AG5"/>
      <c r="AH5"/>
      <c r="AI5"/>
      <c r="AJ5"/>
      <c r="AK5"/>
      <c r="AL5"/>
      <c r="AM5"/>
      <c r="AN5"/>
      <c r="AO5"/>
      <c r="AP5"/>
    </row>
    <row r="6" spans="1:42" x14ac:dyDescent="0.35">
      <c r="B6" s="85" t="s">
        <v>159</v>
      </c>
      <c r="C6" s="84">
        <v>1</v>
      </c>
      <c r="D6" s="84">
        <v>1</v>
      </c>
      <c r="E6" s="84">
        <v>1</v>
      </c>
      <c r="F6" s="93" t="s">
        <v>146</v>
      </c>
      <c r="G6" s="84">
        <v>1</v>
      </c>
      <c r="H6" s="84">
        <v>1</v>
      </c>
      <c r="I6" s="84">
        <v>1</v>
      </c>
      <c r="J6" s="84">
        <v>1</v>
      </c>
      <c r="M6" s="84">
        <v>1</v>
      </c>
      <c r="N6" s="84">
        <v>1</v>
      </c>
      <c r="O6" s="84">
        <v>1</v>
      </c>
      <c r="P6" s="84">
        <v>1</v>
      </c>
    </row>
    <row r="7" spans="1:42" x14ac:dyDescent="0.35">
      <c r="B7" s="85" t="s">
        <v>160</v>
      </c>
      <c r="C7" s="84">
        <v>1</v>
      </c>
      <c r="D7" s="84">
        <v>1</v>
      </c>
      <c r="E7" s="93" t="s">
        <v>146</v>
      </c>
      <c r="F7" s="84">
        <v>1</v>
      </c>
      <c r="G7" s="84">
        <v>1</v>
      </c>
      <c r="H7" s="84">
        <v>1</v>
      </c>
      <c r="I7" s="84">
        <v>1</v>
      </c>
      <c r="J7" s="84">
        <v>1</v>
      </c>
      <c r="M7" s="84">
        <v>1</v>
      </c>
      <c r="N7" s="84">
        <v>1</v>
      </c>
      <c r="O7" s="84">
        <v>1</v>
      </c>
      <c r="P7" s="84">
        <v>1</v>
      </c>
    </row>
    <row r="8" spans="1:42" x14ac:dyDescent="0.35">
      <c r="B8" s="85" t="s">
        <v>161</v>
      </c>
      <c r="C8" s="84">
        <v>1</v>
      </c>
      <c r="D8" s="93" t="s">
        <v>146</v>
      </c>
      <c r="E8" s="84">
        <v>1</v>
      </c>
      <c r="F8" s="84">
        <v>1</v>
      </c>
      <c r="G8" s="84">
        <v>1</v>
      </c>
      <c r="H8" s="84">
        <v>1</v>
      </c>
      <c r="I8" s="84">
        <v>1</v>
      </c>
      <c r="J8" s="84">
        <v>1</v>
      </c>
      <c r="M8" s="84">
        <v>1</v>
      </c>
      <c r="N8" s="93" t="s">
        <v>146</v>
      </c>
      <c r="O8" s="84">
        <v>1</v>
      </c>
      <c r="P8" s="93" t="s">
        <v>146</v>
      </c>
    </row>
    <row r="9" spans="1:42" x14ac:dyDescent="0.35">
      <c r="B9" s="85" t="s">
        <v>162</v>
      </c>
      <c r="C9" s="93" t="s">
        <v>146</v>
      </c>
      <c r="D9" s="84">
        <v>1</v>
      </c>
      <c r="E9" s="84">
        <v>1</v>
      </c>
      <c r="F9" s="84">
        <v>1</v>
      </c>
      <c r="G9" s="84">
        <v>1</v>
      </c>
      <c r="H9" s="84">
        <v>1</v>
      </c>
      <c r="I9" s="84">
        <v>1</v>
      </c>
      <c r="J9" s="84">
        <v>1</v>
      </c>
      <c r="M9" s="93" t="s">
        <v>146</v>
      </c>
      <c r="N9" s="84">
        <v>1</v>
      </c>
      <c r="O9" s="93" t="s">
        <v>146</v>
      </c>
      <c r="P9" s="84">
        <v>1</v>
      </c>
    </row>
    <row r="10" spans="1:42" x14ac:dyDescent="0.35">
      <c r="C10" s="97"/>
      <c r="D10" s="97"/>
      <c r="E10" s="97"/>
      <c r="F10" s="97"/>
      <c r="G10" s="97"/>
      <c r="H10" s="97"/>
      <c r="I10" s="97"/>
      <c r="J10" s="97"/>
      <c r="M10" s="97"/>
      <c r="N10" s="97"/>
      <c r="O10" s="97"/>
      <c r="P10" s="97"/>
    </row>
    <row r="11" spans="1:42" ht="23.5" customHeight="1" x14ac:dyDescent="0.35">
      <c r="A11" s="8" t="s">
        <v>4</v>
      </c>
      <c r="B11" s="11"/>
      <c r="C11" s="95" t="str">
        <f>IF(OR(C4="Upper",C4=""),"2 inputs rqd", "1 input rqd")</f>
        <v>2 inputs rqd</v>
      </c>
      <c r="D11" s="95" t="str">
        <f t="shared" ref="D11:H11" si="0">IF(OR(D4="Upper",D4=""),"2 inputs rqd", "1 input rqd")</f>
        <v>2 inputs rqd</v>
      </c>
      <c r="E11" s="95" t="str">
        <f t="shared" si="0"/>
        <v>1 input rqd</v>
      </c>
      <c r="F11" s="95" t="str">
        <f t="shared" si="0"/>
        <v>1 input rqd</v>
      </c>
      <c r="G11" s="95" t="str">
        <f t="shared" si="0"/>
        <v>2 inputs rqd</v>
      </c>
      <c r="H11" s="95" t="str">
        <f t="shared" si="0"/>
        <v>2 inputs rqd</v>
      </c>
      <c r="I11" s="95" t="str">
        <f t="shared" ref="I11:J11" si="1">IF(OR(I4="Upper",I4=""),"2 inputs rqd", "1 input rqd")</f>
        <v>2 inputs rqd</v>
      </c>
      <c r="J11" s="95" t="str">
        <f t="shared" si="1"/>
        <v>2 inputs rqd</v>
      </c>
      <c r="M11" s="95"/>
      <c r="N11" s="95"/>
      <c r="O11" s="95"/>
      <c r="P11" s="95"/>
    </row>
    <row r="12" spans="1:42" x14ac:dyDescent="0.35">
      <c r="A12" s="5" t="s">
        <v>5</v>
      </c>
      <c r="B12" s="7" t="s">
        <v>6</v>
      </c>
      <c r="C12" s="69">
        <v>300</v>
      </c>
      <c r="D12" s="69">
        <v>280</v>
      </c>
      <c r="E12" s="69">
        <v>300</v>
      </c>
      <c r="F12" s="99" cm="1">
        <f t="array" ref="F12">JKJInterpolate(F14,URVOL,URy,-1)</f>
        <v>292.31394546857359</v>
      </c>
      <c r="G12" s="69">
        <v>300</v>
      </c>
      <c r="H12" s="69">
        <v>280</v>
      </c>
      <c r="I12" s="69">
        <v>300</v>
      </c>
      <c r="J12" s="69">
        <v>280</v>
      </c>
      <c r="M12" s="69">
        <v>300</v>
      </c>
      <c r="N12" s="69">
        <v>300</v>
      </c>
      <c r="O12" s="69">
        <v>300</v>
      </c>
      <c r="P12" s="69">
        <v>300</v>
      </c>
      <c r="T12" s="39"/>
      <c r="U12" s="98"/>
    </row>
    <row r="13" spans="1:42" x14ac:dyDescent="0.35">
      <c r="A13" s="5" t="s">
        <v>7</v>
      </c>
      <c r="B13" s="7" t="s">
        <v>6</v>
      </c>
      <c r="C13" s="69">
        <v>280</v>
      </c>
      <c r="D13" s="69">
        <v>260</v>
      </c>
      <c r="E13" s="100" cm="1">
        <f t="array" ref="E13">JKJInterpolate(E16,URVOL,URy,-1)</f>
        <v>276.6149079571681</v>
      </c>
      <c r="F13" s="69">
        <v>260</v>
      </c>
      <c r="G13" s="69">
        <v>280</v>
      </c>
      <c r="H13" s="69">
        <v>260</v>
      </c>
      <c r="I13" s="69">
        <v>280</v>
      </c>
      <c r="J13" s="69">
        <v>260</v>
      </c>
      <c r="M13" s="100" cm="1">
        <f t="array" ref="M13">JKJInterpolate(M16,URVOL,URy,-1)</f>
        <v>290.20978638772351</v>
      </c>
      <c r="N13" s="100" cm="1">
        <f t="array" ref="N13">JKJInterpolate(N16,URVOL,URy,-1)</f>
        <v>288.38527003907717</v>
      </c>
      <c r="O13" s="100" cm="1">
        <f t="array" ref="O13">JKJInterpolate(O16,URVOL,URy,-1)</f>
        <v>290.00557220818149</v>
      </c>
      <c r="P13" s="100" cm="1">
        <f t="array" ref="P13">JKJInterpolate(P16,URVOL,URy,-1)</f>
        <v>288.74871075682506</v>
      </c>
      <c r="T13" s="39"/>
      <c r="U13" s="98"/>
    </row>
    <row r="14" spans="1:42" x14ac:dyDescent="0.35">
      <c r="A14" s="5" t="s">
        <v>126</v>
      </c>
      <c r="B14" s="7" t="s">
        <v>9</v>
      </c>
      <c r="C14" s="101" cm="1">
        <f t="array" ref="C14">JKJInterpolate(C12,URy,URVOL,-1)</f>
        <v>7086569.7977259997</v>
      </c>
      <c r="D14" s="101" cm="1">
        <f t="array" ref="D14">JKJInterpolate(D12,URy,URVOL,-1)</f>
        <v>3277252.9579699999</v>
      </c>
      <c r="E14" s="101" cm="1">
        <f t="array" ref="E14">JKJInterpolate(E12,URy,URVOL,-1)</f>
        <v>7086569.7977259997</v>
      </c>
      <c r="F14" s="102">
        <f>F16+F17</f>
        <v>5423656.2127425717</v>
      </c>
      <c r="G14" s="101" cm="1">
        <f t="array" ref="G14">JKJInterpolate(G12,URy,URVOL,-1)</f>
        <v>7086569.7977259997</v>
      </c>
      <c r="H14" s="101" cm="1">
        <f t="array" ref="H14">JKJInterpolate(H12,URy,URVOL,-1)</f>
        <v>3277252.9579699999</v>
      </c>
      <c r="I14" s="101" cm="1">
        <f t="array" ref="I14">JKJInterpolate(I12,URy,URVOL,-1)</f>
        <v>7086569.7977259997</v>
      </c>
      <c r="J14" s="101" cm="1">
        <f t="array" ref="J14">JKJInterpolate(J12,URy,URVOL,-1)</f>
        <v>3277252.9579699999</v>
      </c>
      <c r="M14" s="101" cm="1">
        <f t="array" ref="M14">JKJInterpolate(M12,URy,URVOL,-1)</f>
        <v>7086569.7977259997</v>
      </c>
      <c r="N14" s="101" cm="1">
        <f t="array" ref="N14">JKJInterpolate(N12,URy,URVOL,-1)</f>
        <v>7086569.7977259997</v>
      </c>
      <c r="O14" s="101" cm="1">
        <f t="array" ref="O14">JKJInterpolate(O12,URy,URVOL,-1)</f>
        <v>7086569.7977259997</v>
      </c>
      <c r="P14" s="101" cm="1">
        <f t="array" ref="P14">JKJInterpolate(P12,URy,URVOL,-1)</f>
        <v>7086569.7977259997</v>
      </c>
      <c r="V14" s="41"/>
    </row>
    <row r="15" spans="1:42" hidden="1" x14ac:dyDescent="0.35">
      <c r="A15" s="5" t="s">
        <v>180</v>
      </c>
      <c r="B15" s="7"/>
      <c r="C15" s="103">
        <f>C14+C19</f>
        <v>8086569.7977259997</v>
      </c>
      <c r="D15" s="103">
        <f>D14+D19</f>
        <v>4277252.9579699999</v>
      </c>
      <c r="E15" s="103">
        <f>E14+E19</f>
        <v>8086569.7977259997</v>
      </c>
      <c r="F15" s="103"/>
      <c r="G15" s="103">
        <f>G14+G19</f>
        <v>7086569.7977259997</v>
      </c>
      <c r="H15" s="103">
        <f>H14+H19</f>
        <v>3277252.9579699999</v>
      </c>
      <c r="I15" s="103">
        <f>I14+I19</f>
        <v>7086569.7977259997</v>
      </c>
      <c r="J15" s="103">
        <f>J14+J19</f>
        <v>3277252.9579699999</v>
      </c>
      <c r="M15" s="101" cm="1">
        <f t="array" ref="M15">JKJInterpolate(M13,URy,URVOL,-1)</f>
        <v>5004842.1983736623</v>
      </c>
      <c r="N15" s="103">
        <f t="shared" ref="N15:P15" si="2">N14+N19</f>
        <v>8086569.7977259997</v>
      </c>
      <c r="O15" s="103">
        <f t="shared" si="2"/>
        <v>8086569.7977259997</v>
      </c>
      <c r="P15" s="103">
        <f t="shared" si="2"/>
        <v>8086569.7977259997</v>
      </c>
      <c r="V15" s="41"/>
    </row>
    <row r="16" spans="1:42" x14ac:dyDescent="0.35">
      <c r="A16" s="5" t="s">
        <v>10</v>
      </c>
      <c r="B16" s="7" t="s">
        <v>9</v>
      </c>
      <c r="C16" s="101" cm="1">
        <f t="array" ref="C16">JKJInterpolate(C13,URy,URVOL,-1)</f>
        <v>3277252.9579699999</v>
      </c>
      <c r="D16" s="101" cm="1">
        <f t="array" ref="D16">JKJInterpolate(D13,URy,URVOL,-1)</f>
        <v>1173750.9923099999</v>
      </c>
      <c r="E16" s="102">
        <f>E14-E17</f>
        <v>2836664.5772934277</v>
      </c>
      <c r="F16" s="101" cm="1">
        <f t="array" ref="F16">JKJInterpolate(F13,URy,URVOL,-1)</f>
        <v>1173750.9923099999</v>
      </c>
      <c r="G16" s="101" cm="1">
        <f t="array" ref="G16">JKJInterpolate(G13,URy,URVOL,-1)</f>
        <v>3277252.9579699999</v>
      </c>
      <c r="H16" s="101" cm="1">
        <f t="array" ref="H16">JKJInterpolate(H13,URy,URVOL,-1)</f>
        <v>1173750.9923099999</v>
      </c>
      <c r="I16" s="101" cm="1">
        <f t="array" ref="I16">JKJInterpolate(I13,URy,URVOL,-1)</f>
        <v>3277252.9579699999</v>
      </c>
      <c r="J16" s="101" cm="1">
        <f t="array" ref="J16">JKJInterpolate(J13,URy,URVOL,-1)</f>
        <v>1173750.9923099999</v>
      </c>
      <c r="M16" s="102">
        <f>M14-M17</f>
        <v>5004842.1983736586</v>
      </c>
      <c r="N16" s="102">
        <f t="shared" ref="N16:P16" si="3">N14-N17</f>
        <v>4677737.5383393345</v>
      </c>
      <c r="O16" s="102">
        <f t="shared" si="3"/>
        <v>4964195.1954433974</v>
      </c>
      <c r="P16" s="102">
        <f t="shared" si="3"/>
        <v>4741963.3145346306</v>
      </c>
    </row>
    <row r="17" spans="1:16" x14ac:dyDescent="0.35">
      <c r="A17" s="5" t="s">
        <v>164</v>
      </c>
      <c r="B17" s="7"/>
      <c r="C17" s="102">
        <f>C14-C16</f>
        <v>3809316.8397559999</v>
      </c>
      <c r="D17" s="102">
        <f t="shared" ref="D17" si="4">D14-D16</f>
        <v>2103501.9656600002</v>
      </c>
      <c r="E17" s="102">
        <f>E29</f>
        <v>4249905.2204325721</v>
      </c>
      <c r="F17" s="102">
        <f>F29</f>
        <v>4249905.2204325721</v>
      </c>
      <c r="G17" s="102">
        <f>G14-G16</f>
        <v>3809316.8397559999</v>
      </c>
      <c r="H17" s="102">
        <f t="shared" ref="H17:J17" si="5">H14-H16</f>
        <v>2103501.9656600002</v>
      </c>
      <c r="I17" s="102">
        <f>I14-I16</f>
        <v>3809316.8397559999</v>
      </c>
      <c r="J17" s="102">
        <f t="shared" si="5"/>
        <v>2103501.9656600002</v>
      </c>
      <c r="M17" s="102">
        <f>M31</f>
        <v>2081727.5993523411</v>
      </c>
      <c r="N17" s="102">
        <f t="shared" ref="N17:P17" si="6">N31</f>
        <v>2408832.2593866652</v>
      </c>
      <c r="O17" s="102">
        <f t="shared" si="6"/>
        <v>2122374.6022826023</v>
      </c>
      <c r="P17" s="102">
        <f t="shared" si="6"/>
        <v>2344606.4831913696</v>
      </c>
    </row>
    <row r="18" spans="1:16" x14ac:dyDescent="0.35">
      <c r="A18" s="5" t="s">
        <v>181</v>
      </c>
      <c r="B18" s="7"/>
      <c r="C18" s="103">
        <f>C17+C19</f>
        <v>4809316.8397559999</v>
      </c>
      <c r="D18" s="103">
        <f t="shared" ref="D18:F18" si="7">D17+D19</f>
        <v>3103501.9656600002</v>
      </c>
      <c r="E18" s="103">
        <f t="shared" si="7"/>
        <v>5249905.2204325721</v>
      </c>
      <c r="F18" s="103">
        <f t="shared" si="7"/>
        <v>4249905.2204325721</v>
      </c>
      <c r="G18" s="103">
        <f>G17+G19</f>
        <v>3809316.8397559999</v>
      </c>
      <c r="H18" s="103">
        <f t="shared" ref="H18" si="8">H17+H19</f>
        <v>2103501.9656600002</v>
      </c>
      <c r="I18" s="103">
        <f>I17+I19</f>
        <v>3809316.8397559999</v>
      </c>
      <c r="J18" s="103">
        <f t="shared" ref="J18" si="9">J17+J19</f>
        <v>2103501.9656600002</v>
      </c>
      <c r="M18" s="103">
        <f>M17+M19</f>
        <v>3081727.5993523411</v>
      </c>
      <c r="N18" s="103">
        <f t="shared" ref="N18" si="10">N17+N19</f>
        <v>3408832.2593866652</v>
      </c>
      <c r="O18" s="103">
        <f t="shared" ref="O18" si="11">O17+O19</f>
        <v>3122374.6022826023</v>
      </c>
      <c r="P18" s="103">
        <f t="shared" ref="P18" si="12">P17+P19</f>
        <v>3344606.4831913696</v>
      </c>
    </row>
    <row r="19" spans="1:16" x14ac:dyDescent="0.35">
      <c r="A19" s="5" t="s">
        <v>122</v>
      </c>
      <c r="B19" s="7"/>
      <c r="C19" s="104">
        <v>1000000</v>
      </c>
      <c r="D19" s="104">
        <v>1000000</v>
      </c>
      <c r="E19" s="104">
        <v>1000000</v>
      </c>
      <c r="F19" s="104"/>
      <c r="G19" s="104"/>
      <c r="H19" s="104"/>
      <c r="I19" s="104"/>
      <c r="J19" s="104"/>
      <c r="M19" s="104">
        <v>1000000</v>
      </c>
      <c r="N19" s="104">
        <v>1000000</v>
      </c>
      <c r="O19" s="104">
        <v>1000000</v>
      </c>
      <c r="P19" s="104">
        <v>1000000</v>
      </c>
    </row>
    <row r="20" spans="1:16" x14ac:dyDescent="0.35">
      <c r="A20" s="8" t="s">
        <v>12</v>
      </c>
      <c r="B20" s="11"/>
      <c r="C20" s="95" t="str">
        <f>IF(OR(C4="Upper",C4=""),"2 inputs rqd", "1 input rqd")</f>
        <v>2 inputs rqd</v>
      </c>
      <c r="D20" s="95" t="str">
        <f t="shared" ref="D20:H20" si="13">IF(OR(D4="Upper",D4=""),"2 inputs rqd", "1 input rqd")</f>
        <v>2 inputs rqd</v>
      </c>
      <c r="E20" s="95" t="str">
        <f t="shared" si="13"/>
        <v>1 input rqd</v>
      </c>
      <c r="F20" s="95" t="str">
        <f t="shared" si="13"/>
        <v>1 input rqd</v>
      </c>
      <c r="G20" s="95" t="str">
        <f t="shared" si="13"/>
        <v>2 inputs rqd</v>
      </c>
      <c r="H20" s="95" t="str">
        <f t="shared" si="13"/>
        <v>2 inputs rqd</v>
      </c>
      <c r="I20" s="95" t="str">
        <f t="shared" ref="I20:J20" si="14">IF(OR(I4="Upper",I4=""),"2 inputs rqd", "1 input rqd")</f>
        <v>2 inputs rqd</v>
      </c>
      <c r="J20" s="95" t="str">
        <f t="shared" si="14"/>
        <v>2 inputs rqd</v>
      </c>
      <c r="M20" s="95"/>
      <c r="N20" s="95"/>
      <c r="O20" s="95"/>
      <c r="P20" s="95"/>
    </row>
    <row r="21" spans="1:16" x14ac:dyDescent="0.35">
      <c r="A21" s="5" t="s">
        <v>13</v>
      </c>
      <c r="B21" s="7" t="s">
        <v>6</v>
      </c>
      <c r="C21" s="69">
        <v>143</v>
      </c>
      <c r="D21" s="63" cm="1">
        <f t="array" ref="D21">JKJInterpolate(D23,LRvol,LRy,-1)</f>
        <v>135.82841485808672</v>
      </c>
      <c r="E21" s="69">
        <v>145</v>
      </c>
      <c r="F21" s="69">
        <v>145</v>
      </c>
      <c r="G21" s="69">
        <v>145</v>
      </c>
      <c r="H21" s="69">
        <v>145</v>
      </c>
      <c r="I21" s="69">
        <v>145</v>
      </c>
      <c r="J21" s="69">
        <v>145</v>
      </c>
      <c r="M21" s="69">
        <v>143</v>
      </c>
      <c r="N21" s="63" t="e" cm="1">
        <f t="array" ref="N21">JKJInterpolate(N23,LRvol,LRy,-1)</f>
        <v>#VALUE!</v>
      </c>
      <c r="O21" s="69">
        <v>143</v>
      </c>
      <c r="P21" s="63" t="e" cm="1">
        <f t="array" ref="P21">JKJInterpolate(P23,LRvol,LRy,-1)</f>
        <v>#VALUE!</v>
      </c>
    </row>
    <row r="22" spans="1:16" x14ac:dyDescent="0.35">
      <c r="A22" s="5" t="s">
        <v>14</v>
      </c>
      <c r="B22" s="7" t="s">
        <v>6</v>
      </c>
      <c r="C22" s="63" cm="1">
        <f t="array" ref="C22">JKJInterpolate(C24,LRvol,LRy,-1)</f>
        <v>115.3309844739062</v>
      </c>
      <c r="D22" s="69">
        <v>120</v>
      </c>
      <c r="E22" s="69">
        <v>114.67544986305185</v>
      </c>
      <c r="F22" s="69">
        <v>114.67544986305185</v>
      </c>
      <c r="G22" s="69">
        <v>120</v>
      </c>
      <c r="H22" s="69">
        <v>120</v>
      </c>
      <c r="I22" s="69">
        <v>120</v>
      </c>
      <c r="J22" s="69">
        <v>120</v>
      </c>
      <c r="M22" s="63" t="e" cm="1">
        <f t="array" ref="M22">JKJInterpolate(M24,LRvol,LRy,-1)</f>
        <v>#VALUE!</v>
      </c>
      <c r="N22" s="69">
        <v>120</v>
      </c>
      <c r="O22" s="63" t="e" cm="1">
        <f t="array" ref="O22">JKJInterpolate(O24,LRvol,LRy,-1)</f>
        <v>#VALUE!</v>
      </c>
      <c r="P22" s="69">
        <v>120</v>
      </c>
    </row>
    <row r="23" spans="1:16" x14ac:dyDescent="0.35">
      <c r="A23" s="5" t="s">
        <v>8</v>
      </c>
      <c r="B23" s="7" t="s">
        <v>9</v>
      </c>
      <c r="C23" s="102" cm="1">
        <f t="array" ref="C23">JKJInterpolate(C21,LRy,LRvol,-1)</f>
        <v>4602077.4872611994</v>
      </c>
      <c r="D23" s="102">
        <f>D24+D29</f>
        <v>3385530.8396280003</v>
      </c>
      <c r="E23" s="102" cm="1">
        <f t="array" ref="E23">JKJInterpolate(E21,LRy,LRvol,-1)</f>
        <v>4977061.9087239997</v>
      </c>
      <c r="F23" s="102" cm="1">
        <f t="array" ref="F23">JKJInterpolate(F21,LRy,LRvol,-1)</f>
        <v>4977061.9087239997</v>
      </c>
      <c r="G23" s="102" cm="1">
        <f t="array" ref="G23">JKJInterpolate(G21,LRy,LRvol,-1)</f>
        <v>4977061.9087239997</v>
      </c>
      <c r="H23" s="102" cm="1">
        <f t="array" ref="H23">JKJInterpolate(H21,LRy,LRvol,-1)</f>
        <v>4977061.9087239997</v>
      </c>
      <c r="I23" s="102" cm="1">
        <f t="array" ref="I23">JKJInterpolate(I21,LRy,LRvol,-1)</f>
        <v>4977061.9087239997</v>
      </c>
      <c r="J23" s="102" cm="1">
        <f t="array" ref="J23">JKJInterpolate(J21,LRy,LRvol,-1)</f>
        <v>4977061.9087239997</v>
      </c>
      <c r="M23" s="102" cm="1">
        <f t="array" ref="M23">JKJInterpolate(M21,LRy,LRvol,-1)</f>
        <v>4602077.4872611994</v>
      </c>
      <c r="N23" s="102" t="e">
        <f>N24+N29</f>
        <v>#VALUE!</v>
      </c>
      <c r="O23" s="102" cm="1">
        <f t="array" ref="O23">JKJInterpolate(O21,LRy,LRvol,-1)</f>
        <v>4602077.4872611994</v>
      </c>
      <c r="P23" s="102" t="e">
        <f>P24+P29</f>
        <v>#VALUE!</v>
      </c>
    </row>
    <row r="24" spans="1:16" x14ac:dyDescent="0.35">
      <c r="A24" s="5" t="s">
        <v>10</v>
      </c>
      <c r="B24" s="7" t="s">
        <v>9</v>
      </c>
      <c r="C24" s="102">
        <f>C23-C29</f>
        <v>792760.64750519954</v>
      </c>
      <c r="D24" s="102" cm="1">
        <f t="array" ref="D24">JKJInterpolate(D22,LRy,LRvol,-1)</f>
        <v>1282028.8739680001</v>
      </c>
      <c r="E24" s="102" cm="1">
        <f t="array" ref="E24">JKJInterpolate(E22,LRy,LRvol,-1)</f>
        <v>727156.68829142803</v>
      </c>
      <c r="F24" s="102" cm="1">
        <f t="array" ref="F24">JKJInterpolate(F22,LRy,LRvol,-1)</f>
        <v>727156.68829142803</v>
      </c>
      <c r="G24" s="102" cm="1">
        <f t="array" ref="G24">JKJInterpolate(G22,LRy,LRvol,-1)</f>
        <v>1282028.8739680001</v>
      </c>
      <c r="H24" s="102" cm="1">
        <f t="array" ref="H24">JKJInterpolate(H22,LRy,LRvol,-1)</f>
        <v>1282028.8739680001</v>
      </c>
      <c r="I24" s="102" cm="1">
        <f t="array" ref="I24">JKJInterpolate(I22,LRy,LRvol,-1)</f>
        <v>1282028.8739680001</v>
      </c>
      <c r="J24" s="102" cm="1">
        <f t="array" ref="J24">JKJInterpolate(J22,LRy,LRvol,-1)</f>
        <v>1282028.8739680001</v>
      </c>
      <c r="M24" s="102" t="e">
        <f>M23-M29</f>
        <v>#VALUE!</v>
      </c>
      <c r="N24" s="102" cm="1">
        <f t="array" ref="N24">JKJInterpolate(N22,LRy,LRvol,-1)</f>
        <v>1282028.8739680001</v>
      </c>
      <c r="O24" s="102" t="e">
        <f>O23-O29</f>
        <v>#VALUE!</v>
      </c>
      <c r="P24" s="102" cm="1">
        <f t="array" ref="P24">JKJInterpolate(P22,LRy,LRvol,-1)</f>
        <v>1282028.8739680001</v>
      </c>
    </row>
    <row r="25" spans="1:16" x14ac:dyDescent="0.35">
      <c r="A25" s="5" t="s">
        <v>165</v>
      </c>
      <c r="B25" s="7"/>
      <c r="C25" s="102">
        <f>C29</f>
        <v>3809316.8397559999</v>
      </c>
      <c r="D25" s="102">
        <f>D29</f>
        <v>2103501.9656600002</v>
      </c>
      <c r="E25" s="102">
        <f>E23-E24</f>
        <v>4249905.2204325721</v>
      </c>
      <c r="F25" s="102">
        <f t="shared" ref="F25" si="15">F23-F24</f>
        <v>4249905.2204325721</v>
      </c>
      <c r="G25" s="102">
        <f t="shared" ref="G25:H25" si="16">G23-G24</f>
        <v>3695033.0347559997</v>
      </c>
      <c r="H25" s="102">
        <f t="shared" si="16"/>
        <v>3695033.0347559997</v>
      </c>
      <c r="I25" s="102">
        <f t="shared" ref="I25:J25" si="17">I23-I24</f>
        <v>3695033.0347559997</v>
      </c>
      <c r="J25" s="102">
        <f t="shared" si="17"/>
        <v>3695033.0347559997</v>
      </c>
      <c r="M25" s="102" t="str">
        <f>M29</f>
        <v/>
      </c>
      <c r="N25" s="102" t="str">
        <f>N29</f>
        <v/>
      </c>
      <c r="O25" s="102" t="str">
        <f>O29</f>
        <v/>
      </c>
      <c r="P25" s="102" t="str">
        <f>P29</f>
        <v/>
      </c>
    </row>
    <row r="26" spans="1:16" x14ac:dyDescent="0.35">
      <c r="A26" s="5" t="s">
        <v>122</v>
      </c>
      <c r="B26" s="7"/>
      <c r="C26" s="102"/>
      <c r="D26" s="102"/>
      <c r="E26" s="102"/>
      <c r="F26" s="102"/>
      <c r="G26" s="102"/>
      <c r="H26" s="102"/>
      <c r="I26" s="102"/>
      <c r="J26" s="102"/>
      <c r="M26" s="102"/>
      <c r="N26" s="102"/>
      <c r="O26" s="102"/>
      <c r="P26" s="102"/>
    </row>
    <row r="27" spans="1:16" x14ac:dyDescent="0.35">
      <c r="A27" s="8" t="s">
        <v>186</v>
      </c>
      <c r="B27" s="11"/>
      <c r="C27" s="72"/>
      <c r="D27" s="72"/>
      <c r="E27" s="72"/>
      <c r="F27" s="72"/>
      <c r="G27" s="72"/>
      <c r="H27" s="72"/>
      <c r="I27" s="72"/>
      <c r="J27" s="72"/>
      <c r="M27" s="72"/>
      <c r="N27" s="72"/>
      <c r="O27" s="72"/>
      <c r="P27" s="72"/>
    </row>
    <row r="28" spans="1:16" x14ac:dyDescent="0.35">
      <c r="A28" s="6" t="s">
        <v>184</v>
      </c>
      <c r="B28" s="30" t="s">
        <v>9</v>
      </c>
      <c r="C28" s="102">
        <f t="shared" ref="C28:J28" si="18">MIN(C17,C25)</f>
        <v>3809316.8397559999</v>
      </c>
      <c r="D28" s="102">
        <f t="shared" si="18"/>
        <v>2103501.9656600002</v>
      </c>
      <c r="E28" s="102">
        <f t="shared" si="18"/>
        <v>4249905.2204325721</v>
      </c>
      <c r="F28" s="102">
        <f t="shared" si="18"/>
        <v>4249905.2204325721</v>
      </c>
      <c r="G28" s="102">
        <f t="shared" si="18"/>
        <v>3695033.0347559997</v>
      </c>
      <c r="H28" s="102">
        <f t="shared" si="18"/>
        <v>2103501.9656600002</v>
      </c>
      <c r="I28" s="102">
        <f t="shared" si="18"/>
        <v>3695033.0347559997</v>
      </c>
      <c r="J28" s="102">
        <f t="shared" si="18"/>
        <v>2103501.9656600002</v>
      </c>
      <c r="L28" s="102"/>
      <c r="M28" s="102">
        <f t="shared" ref="M28:P28" si="19">MIN(M17,M25)</f>
        <v>2081727.5993523411</v>
      </c>
      <c r="N28" s="102">
        <f t="shared" si="19"/>
        <v>2408832.2593866652</v>
      </c>
      <c r="O28" s="102">
        <f t="shared" si="19"/>
        <v>2122374.6022826023</v>
      </c>
      <c r="P28" s="102">
        <f t="shared" si="19"/>
        <v>2344606.4831913696</v>
      </c>
    </row>
    <row r="29" spans="1:16" x14ac:dyDescent="0.35">
      <c r="A29" s="6" t="s">
        <v>168</v>
      </c>
      <c r="B29" s="30"/>
      <c r="C29" s="102">
        <f>IF(C4="Upper",C17, IF(C4="Lower",C25,""))</f>
        <v>3809316.8397559999</v>
      </c>
      <c r="D29" s="102">
        <f>IF(D4="Upper",D17, IF(D4="Lower",D25,""))</f>
        <v>2103501.9656600002</v>
      </c>
      <c r="E29" s="102">
        <f>IF(E4="Upper",E17, IF(E4="Lower",E25,""))</f>
        <v>4249905.2204325721</v>
      </c>
      <c r="F29" s="102">
        <f>IF(F4="Upper",F17, IF(F4="Lower",F25,""))</f>
        <v>4249905.2204325721</v>
      </c>
      <c r="G29" s="102" t="str">
        <f t="shared" ref="G29:P29" si="20">IF(G4="Upper",G17, IF(G4="Lower",G25,""))</f>
        <v/>
      </c>
      <c r="H29" s="102" t="str">
        <f t="shared" si="20"/>
        <v/>
      </c>
      <c r="I29" s="102" t="str">
        <f t="shared" ref="I29:J29" si="21">IF(I4="Upper",I17, IF(I4="Lower",I25,""))</f>
        <v/>
      </c>
      <c r="J29" s="102" t="str">
        <f t="shared" si="21"/>
        <v/>
      </c>
      <c r="L29" s="102" t="str">
        <f t="shared" si="20"/>
        <v/>
      </c>
      <c r="M29" s="102" t="str">
        <f t="shared" si="20"/>
        <v/>
      </c>
      <c r="N29" s="102" t="str">
        <f t="shared" si="20"/>
        <v/>
      </c>
      <c r="O29" s="102" t="str">
        <f t="shared" si="20"/>
        <v/>
      </c>
      <c r="P29" s="102" t="str">
        <f t="shared" si="20"/>
        <v/>
      </c>
    </row>
    <row r="30" spans="1:16" x14ac:dyDescent="0.35">
      <c r="A30" s="5" t="s">
        <v>183</v>
      </c>
      <c r="B30" s="7"/>
      <c r="C30" s="102">
        <f t="shared" ref="C30:J30" si="22">MIN(C28:C29)</f>
        <v>3809316.8397559999</v>
      </c>
      <c r="D30" s="102">
        <f t="shared" si="22"/>
        <v>2103501.9656600002</v>
      </c>
      <c r="E30" s="102">
        <f t="shared" si="22"/>
        <v>4249905.2204325721</v>
      </c>
      <c r="F30" s="102">
        <f t="shared" si="22"/>
        <v>4249905.2204325721</v>
      </c>
      <c r="G30" s="102">
        <f t="shared" si="22"/>
        <v>3695033.0347559997</v>
      </c>
      <c r="H30" s="102">
        <f t="shared" si="22"/>
        <v>2103501.9656600002</v>
      </c>
      <c r="I30" s="102">
        <f t="shared" si="22"/>
        <v>3695033.0347559997</v>
      </c>
      <c r="J30" s="102">
        <f t="shared" si="22"/>
        <v>2103501.9656600002</v>
      </c>
      <c r="M30" s="102">
        <f>MIN(M28:M29)</f>
        <v>2081727.5993523411</v>
      </c>
      <c r="N30" s="102">
        <f>MIN(N28:N29)</f>
        <v>2408832.2593866652</v>
      </c>
      <c r="O30" s="102">
        <f>MIN(O28:O29)</f>
        <v>2122374.6022826023</v>
      </c>
      <c r="P30" s="102">
        <f>MIN(P28:P29)</f>
        <v>2344606.4831913696</v>
      </c>
    </row>
    <row r="31" spans="1:16" x14ac:dyDescent="0.35">
      <c r="A31" s="6" t="s">
        <v>196</v>
      </c>
      <c r="B31" s="30"/>
      <c r="C31" s="102">
        <f>C56</f>
        <v>2111442.449279414</v>
      </c>
      <c r="D31" s="102">
        <f t="shared" ref="D31:P31" si="23">D56</f>
        <v>2406769.4559722366</v>
      </c>
      <c r="E31" s="102">
        <f t="shared" si="23"/>
        <v>2144635.0333903683</v>
      </c>
      <c r="F31" s="102">
        <f t="shared" si="23"/>
        <v>2333084.662036011</v>
      </c>
      <c r="G31" s="102">
        <f t="shared" si="23"/>
        <v>2158550.0534360521</v>
      </c>
      <c r="H31" s="102">
        <f t="shared" si="23"/>
        <v>2492024.303715996</v>
      </c>
      <c r="I31" s="102">
        <f t="shared" ref="I31:J31" si="24">I56</f>
        <v>0</v>
      </c>
      <c r="J31" s="102">
        <f t="shared" si="24"/>
        <v>0</v>
      </c>
      <c r="L31" s="102"/>
      <c r="M31" s="111">
        <f>M56</f>
        <v>2081727.5993523411</v>
      </c>
      <c r="N31" s="111">
        <f t="shared" si="23"/>
        <v>2408832.2593866652</v>
      </c>
      <c r="O31" s="111">
        <f t="shared" si="23"/>
        <v>2122374.6022826023</v>
      </c>
      <c r="P31" s="111">
        <f t="shared" si="23"/>
        <v>2344606.4831913696</v>
      </c>
    </row>
    <row r="32" spans="1:16" x14ac:dyDescent="0.35">
      <c r="A32" s="8" t="s">
        <v>97</v>
      </c>
      <c r="B32" s="11"/>
      <c r="C32" s="72"/>
      <c r="D32" s="72"/>
      <c r="E32" s="72"/>
      <c r="F32" s="72"/>
      <c r="G32" s="72"/>
      <c r="H32" s="72"/>
      <c r="I32" s="72"/>
      <c r="J32" s="72"/>
      <c r="M32" s="72"/>
      <c r="N32" s="72"/>
      <c r="O32" s="72"/>
      <c r="P32" s="72"/>
    </row>
    <row r="33" spans="1:19" x14ac:dyDescent="0.35">
      <c r="A33" s="5" t="s">
        <v>20</v>
      </c>
      <c r="B33" s="7" t="s">
        <v>21</v>
      </c>
      <c r="C33" s="68">
        <f t="shared" ref="C33:J33" si="25">C12-C22</f>
        <v>184.6690155260938</v>
      </c>
      <c r="D33" s="68">
        <f t="shared" si="25"/>
        <v>160</v>
      </c>
      <c r="E33" s="68">
        <f t="shared" si="25"/>
        <v>185.32455013694815</v>
      </c>
      <c r="F33" s="68">
        <f t="shared" si="25"/>
        <v>177.63849560552174</v>
      </c>
      <c r="G33" s="68">
        <f t="shared" si="25"/>
        <v>180</v>
      </c>
      <c r="H33" s="68">
        <f t="shared" si="25"/>
        <v>160</v>
      </c>
      <c r="I33" s="68">
        <f t="shared" si="25"/>
        <v>180</v>
      </c>
      <c r="J33" s="68">
        <f t="shared" si="25"/>
        <v>160</v>
      </c>
      <c r="M33" s="68" t="e">
        <f>M12-M22</f>
        <v>#VALUE!</v>
      </c>
      <c r="N33" s="68">
        <f>N12-N22</f>
        <v>180</v>
      </c>
      <c r="O33" s="68" t="e">
        <f>O12-O22</f>
        <v>#VALUE!</v>
      </c>
      <c r="P33" s="68">
        <f>P12-P22</f>
        <v>180</v>
      </c>
    </row>
    <row r="34" spans="1:19" x14ac:dyDescent="0.35">
      <c r="A34" s="5" t="s">
        <v>22</v>
      </c>
      <c r="B34" s="7" t="s">
        <v>21</v>
      </c>
      <c r="C34" s="68">
        <f t="shared" ref="C34:J34" si="26">C13-C21</f>
        <v>137</v>
      </c>
      <c r="D34" s="68">
        <f t="shared" si="26"/>
        <v>124.17158514191328</v>
      </c>
      <c r="E34" s="68">
        <f t="shared" si="26"/>
        <v>131.6149079571681</v>
      </c>
      <c r="F34" s="68">
        <f t="shared" si="26"/>
        <v>115</v>
      </c>
      <c r="G34" s="68">
        <f t="shared" si="26"/>
        <v>135</v>
      </c>
      <c r="H34" s="68">
        <f t="shared" si="26"/>
        <v>115</v>
      </c>
      <c r="I34" s="68">
        <f t="shared" si="26"/>
        <v>135</v>
      </c>
      <c r="J34" s="68">
        <f t="shared" si="26"/>
        <v>115</v>
      </c>
      <c r="M34" s="68">
        <f>M13-M21</f>
        <v>147.20978638772351</v>
      </c>
      <c r="N34" s="68" t="e">
        <f>N13-N21</f>
        <v>#VALUE!</v>
      </c>
      <c r="O34" s="68">
        <f>O13-O21</f>
        <v>147.00557220818149</v>
      </c>
      <c r="P34" s="68" t="e">
        <f>P13-P21</f>
        <v>#VALUE!</v>
      </c>
    </row>
    <row r="35" spans="1:19" x14ac:dyDescent="0.35">
      <c r="A35" s="5" t="s">
        <v>23</v>
      </c>
      <c r="B35" s="7" t="s">
        <v>21</v>
      </c>
      <c r="C35" s="68">
        <f t="shared" ref="C35:F35" si="27">AVERAGE(C33:C34)</f>
        <v>160.8345077630469</v>
      </c>
      <c r="D35" s="68">
        <f t="shared" si="27"/>
        <v>142.08579257095664</v>
      </c>
      <c r="E35" s="68">
        <f t="shared" si="27"/>
        <v>158.46972904705814</v>
      </c>
      <c r="F35" s="68">
        <f t="shared" si="27"/>
        <v>146.31924780276086</v>
      </c>
      <c r="G35" s="68">
        <f t="shared" ref="G35" si="28">AVERAGE(G33:G34)</f>
        <v>157.5</v>
      </c>
      <c r="H35" s="68">
        <f t="shared" ref="H35:M35" si="29">AVERAGE(H33:H34)</f>
        <v>137.5</v>
      </c>
      <c r="I35" s="68">
        <f t="shared" ref="I35" si="30">AVERAGE(I33:I34)</f>
        <v>157.5</v>
      </c>
      <c r="J35" s="68">
        <f t="shared" ref="J35" si="31">AVERAGE(J33:J34)</f>
        <v>137.5</v>
      </c>
      <c r="M35" s="68" t="e">
        <f t="shared" si="29"/>
        <v>#VALUE!</v>
      </c>
      <c r="N35" s="68" t="e">
        <f t="shared" ref="N35" si="32">AVERAGE(N33:N34)</f>
        <v>#VALUE!</v>
      </c>
      <c r="O35" s="68" t="e">
        <f t="shared" ref="O35" si="33">AVERAGE(O33:O34)</f>
        <v>#VALUE!</v>
      </c>
      <c r="P35" s="68" t="e">
        <f t="shared" ref="P35" si="34">AVERAGE(P33:P34)</f>
        <v>#VALUE!</v>
      </c>
    </row>
    <row r="36" spans="1:19" x14ac:dyDescent="0.35">
      <c r="A36" s="12" t="s">
        <v>24</v>
      </c>
      <c r="B36" t="s">
        <v>2</v>
      </c>
      <c r="C36" s="67">
        <f>IF($B$36="Avg Head",C$35,C$34)</f>
        <v>160.8345077630469</v>
      </c>
      <c r="D36" s="67">
        <f t="shared" ref="D36:M36" si="35">IF($B$36="Avg Head",D$35,D$34)</f>
        <v>142.08579257095664</v>
      </c>
      <c r="E36" s="67">
        <f t="shared" si="35"/>
        <v>158.46972904705814</v>
      </c>
      <c r="F36" s="67">
        <f t="shared" si="35"/>
        <v>146.31924780276086</v>
      </c>
      <c r="G36" s="67">
        <f t="shared" si="35"/>
        <v>157.5</v>
      </c>
      <c r="H36" s="67">
        <f t="shared" si="35"/>
        <v>137.5</v>
      </c>
      <c r="I36" s="67">
        <f t="shared" si="35"/>
        <v>157.5</v>
      </c>
      <c r="J36" s="67">
        <f t="shared" si="35"/>
        <v>137.5</v>
      </c>
      <c r="L36" s="67"/>
      <c r="M36" s="67" t="e">
        <f t="shared" si="35"/>
        <v>#VALUE!</v>
      </c>
      <c r="N36" s="67" t="e">
        <f t="shared" ref="N36:P36" si="36">IF($B$36="Avg Head",N$35,N$34)</f>
        <v>#VALUE!</v>
      </c>
      <c r="O36" s="67" t="e">
        <f t="shared" si="36"/>
        <v>#VALUE!</v>
      </c>
      <c r="P36" s="67" t="e">
        <f t="shared" si="36"/>
        <v>#VALUE!</v>
      </c>
    </row>
    <row r="37" spans="1:19" x14ac:dyDescent="0.35">
      <c r="A37" s="5" t="s">
        <v>170</v>
      </c>
      <c r="B37" s="113">
        <v>0.05</v>
      </c>
      <c r="C37" s="106">
        <f t="shared" ref="C37:J37" si="37">C$36*($B$37)</f>
        <v>8.0417253881523454</v>
      </c>
      <c r="D37" s="106">
        <f t="shared" si="37"/>
        <v>7.1042896285478321</v>
      </c>
      <c r="E37" s="106">
        <f t="shared" si="37"/>
        <v>7.9234864523529076</v>
      </c>
      <c r="F37" s="106">
        <f t="shared" si="37"/>
        <v>7.3159623901380435</v>
      </c>
      <c r="G37" s="106">
        <f t="shared" si="37"/>
        <v>7.875</v>
      </c>
      <c r="H37" s="106">
        <f t="shared" si="37"/>
        <v>6.875</v>
      </c>
      <c r="I37" s="106">
        <f t="shared" si="37"/>
        <v>7.875</v>
      </c>
      <c r="J37" s="106">
        <f t="shared" si="37"/>
        <v>6.875</v>
      </c>
      <c r="L37" s="106"/>
      <c r="M37" s="106" t="e">
        <f>M$36*($B$37)</f>
        <v>#VALUE!</v>
      </c>
      <c r="N37" s="106" t="e">
        <f>N$36*($B$37)</f>
        <v>#VALUE!</v>
      </c>
      <c r="O37" s="106" t="e">
        <f>O$36*($B$37)</f>
        <v>#VALUE!</v>
      </c>
      <c r="P37" s="106" t="e">
        <f>P$36*($B$37)</f>
        <v>#VALUE!</v>
      </c>
    </row>
    <row r="38" spans="1:19" x14ac:dyDescent="0.35">
      <c r="A38" s="5" t="s">
        <v>169</v>
      </c>
      <c r="B38" s="113">
        <f>B37*75%</f>
        <v>3.7500000000000006E-2</v>
      </c>
      <c r="C38" s="106">
        <f t="shared" ref="C38:J38" si="38">C$36*$B$38</f>
        <v>6.0312940411142595</v>
      </c>
      <c r="D38" s="106">
        <f t="shared" si="38"/>
        <v>5.3282172214108749</v>
      </c>
      <c r="E38" s="106">
        <f t="shared" si="38"/>
        <v>5.9426148392646807</v>
      </c>
      <c r="F38" s="106">
        <f t="shared" si="38"/>
        <v>5.4869717926035326</v>
      </c>
      <c r="G38" s="106">
        <f t="shared" si="38"/>
        <v>5.9062500000000009</v>
      </c>
      <c r="H38" s="106">
        <f t="shared" si="38"/>
        <v>5.1562500000000009</v>
      </c>
      <c r="I38" s="106">
        <f t="shared" si="38"/>
        <v>5.9062500000000009</v>
      </c>
      <c r="J38" s="106">
        <f t="shared" si="38"/>
        <v>5.1562500000000009</v>
      </c>
      <c r="L38" s="106"/>
      <c r="M38" s="106" t="e">
        <f>M$36*$B$38</f>
        <v>#VALUE!</v>
      </c>
      <c r="N38" s="106" t="e">
        <f>N$36*$B$38</f>
        <v>#VALUE!</v>
      </c>
      <c r="O38" s="106" t="e">
        <f>O$36*$B$38</f>
        <v>#VALUE!</v>
      </c>
      <c r="P38" s="106" t="e">
        <f>P$36*$B$38</f>
        <v>#VALUE!</v>
      </c>
    </row>
    <row r="39" spans="1:19" x14ac:dyDescent="0.35">
      <c r="A39" s="8" t="s">
        <v>189</v>
      </c>
      <c r="B39" s="11"/>
      <c r="C39" s="72"/>
      <c r="D39" s="72"/>
      <c r="E39" s="72"/>
      <c r="F39" s="72"/>
      <c r="G39" s="72"/>
      <c r="H39" s="72"/>
      <c r="I39" s="72"/>
      <c r="J39" s="72"/>
      <c r="M39" s="72"/>
      <c r="N39" s="72"/>
      <c r="O39" s="72"/>
      <c r="P39" s="72"/>
    </row>
    <row r="40" spans="1:19" x14ac:dyDescent="0.35">
      <c r="A40" s="5" t="s">
        <v>35</v>
      </c>
      <c r="B40" s="42" t="s">
        <v>21</v>
      </c>
      <c r="C40" s="60">
        <f t="shared" ref="C40:J41" si="39">C33-$C$37</f>
        <v>176.62729013794146</v>
      </c>
      <c r="D40" s="60">
        <f t="shared" si="39"/>
        <v>151.95827461184766</v>
      </c>
      <c r="E40" s="60">
        <f t="shared" si="39"/>
        <v>177.2828247487958</v>
      </c>
      <c r="F40" s="60">
        <f t="shared" si="39"/>
        <v>169.5967702173694</v>
      </c>
      <c r="G40" s="60">
        <f t="shared" si="39"/>
        <v>171.95827461184766</v>
      </c>
      <c r="H40" s="60">
        <f t="shared" si="39"/>
        <v>151.95827461184766</v>
      </c>
      <c r="I40" s="60">
        <f t="shared" si="39"/>
        <v>171.95827461184766</v>
      </c>
      <c r="J40" s="60">
        <f t="shared" si="39"/>
        <v>151.95827461184766</v>
      </c>
      <c r="M40" s="60" t="e">
        <f t="shared" ref="M40:P41" si="40">M33-$C$37</f>
        <v>#VALUE!</v>
      </c>
      <c r="N40" s="60">
        <f t="shared" si="40"/>
        <v>171.95827461184766</v>
      </c>
      <c r="O40" s="60" t="e">
        <f t="shared" si="40"/>
        <v>#VALUE!</v>
      </c>
      <c r="P40" s="60">
        <f t="shared" si="40"/>
        <v>171.95827461184766</v>
      </c>
    </row>
    <row r="41" spans="1:19" x14ac:dyDescent="0.35">
      <c r="A41" s="5" t="s">
        <v>36</v>
      </c>
      <c r="B41" s="42" t="s">
        <v>21</v>
      </c>
      <c r="C41" s="60">
        <f t="shared" si="39"/>
        <v>128.95827461184766</v>
      </c>
      <c r="D41" s="60">
        <f t="shared" si="39"/>
        <v>116.12985975376094</v>
      </c>
      <c r="E41" s="60">
        <f t="shared" si="39"/>
        <v>123.57318256901576</v>
      </c>
      <c r="F41" s="60">
        <f t="shared" si="39"/>
        <v>106.95827461184766</v>
      </c>
      <c r="G41" s="60">
        <f t="shared" si="39"/>
        <v>126.95827461184766</v>
      </c>
      <c r="H41" s="60">
        <f t="shared" si="39"/>
        <v>106.95827461184766</v>
      </c>
      <c r="I41" s="60">
        <f t="shared" si="39"/>
        <v>126.95827461184766</v>
      </c>
      <c r="J41" s="60">
        <f t="shared" si="39"/>
        <v>106.95827461184766</v>
      </c>
      <c r="M41" s="60">
        <f t="shared" si="40"/>
        <v>139.16806099957117</v>
      </c>
      <c r="N41" s="60" t="e">
        <f t="shared" si="40"/>
        <v>#VALUE!</v>
      </c>
      <c r="O41" s="60">
        <f t="shared" si="40"/>
        <v>138.96384682002915</v>
      </c>
      <c r="P41" s="60" t="e">
        <f t="shared" si="40"/>
        <v>#VALUE!</v>
      </c>
    </row>
    <row r="42" spans="1:19" x14ac:dyDescent="0.35">
      <c r="A42" s="5" t="s">
        <v>37</v>
      </c>
      <c r="B42" s="42" t="s">
        <v>21</v>
      </c>
      <c r="C42" s="60">
        <f t="shared" ref="C42:J42" si="41">C36-$C$37</f>
        <v>152.79278237489456</v>
      </c>
      <c r="D42" s="60">
        <f t="shared" si="41"/>
        <v>134.0440671828043</v>
      </c>
      <c r="E42" s="60">
        <f t="shared" si="41"/>
        <v>150.42800365890579</v>
      </c>
      <c r="F42" s="60">
        <f t="shared" si="41"/>
        <v>138.27752241460851</v>
      </c>
      <c r="G42" s="60">
        <f t="shared" si="41"/>
        <v>149.45827461184766</v>
      </c>
      <c r="H42" s="60">
        <f t="shared" si="41"/>
        <v>129.45827461184766</v>
      </c>
      <c r="I42" s="60">
        <f t="shared" si="41"/>
        <v>149.45827461184766</v>
      </c>
      <c r="J42" s="60">
        <f t="shared" si="41"/>
        <v>129.45827461184766</v>
      </c>
      <c r="M42" s="60" t="e">
        <f>M36-$C$37</f>
        <v>#VALUE!</v>
      </c>
      <c r="N42" s="60" t="e">
        <f>N36-$C$37</f>
        <v>#VALUE!</v>
      </c>
      <c r="O42" s="60" t="e">
        <f>O36-$C$37</f>
        <v>#VALUE!</v>
      </c>
      <c r="P42" s="60" t="e">
        <f>P36-$C$37</f>
        <v>#VALUE!</v>
      </c>
      <c r="S42" s="40"/>
    </row>
    <row r="43" spans="1:19" x14ac:dyDescent="0.35">
      <c r="A43" s="5" t="s">
        <v>38</v>
      </c>
      <c r="B43" s="42" t="s">
        <v>21</v>
      </c>
      <c r="C43" s="60">
        <f t="shared" ref="C43:J44" si="42">C33+$C$38</f>
        <v>190.70030956720805</v>
      </c>
      <c r="D43" s="60">
        <f t="shared" si="42"/>
        <v>166.03129404111425</v>
      </c>
      <c r="E43" s="60">
        <f t="shared" si="42"/>
        <v>191.3558441780624</v>
      </c>
      <c r="F43" s="60">
        <f t="shared" si="42"/>
        <v>183.66978964663599</v>
      </c>
      <c r="G43" s="60">
        <f t="shared" si="42"/>
        <v>186.03129404111425</v>
      </c>
      <c r="H43" s="60">
        <f t="shared" si="42"/>
        <v>166.03129404111425</v>
      </c>
      <c r="I43" s="60">
        <f t="shared" si="42"/>
        <v>186.03129404111425</v>
      </c>
      <c r="J43" s="60">
        <f t="shared" si="42"/>
        <v>166.03129404111425</v>
      </c>
      <c r="M43" s="60" t="e">
        <f t="shared" ref="M43:P44" si="43">M33+$C$38</f>
        <v>#VALUE!</v>
      </c>
      <c r="N43" s="60">
        <f t="shared" si="43"/>
        <v>186.03129404111425</v>
      </c>
      <c r="O43" s="60" t="e">
        <f t="shared" si="43"/>
        <v>#VALUE!</v>
      </c>
      <c r="P43" s="60">
        <f t="shared" si="43"/>
        <v>186.03129404111425</v>
      </c>
      <c r="S43" s="40"/>
    </row>
    <row r="44" spans="1:19" x14ac:dyDescent="0.35">
      <c r="A44" s="5" t="s">
        <v>39</v>
      </c>
      <c r="B44" s="42" t="s">
        <v>21</v>
      </c>
      <c r="C44" s="60">
        <f t="shared" si="42"/>
        <v>143.03129404111425</v>
      </c>
      <c r="D44" s="60">
        <f t="shared" si="42"/>
        <v>130.20287918302753</v>
      </c>
      <c r="E44" s="60">
        <f t="shared" si="42"/>
        <v>137.64620199828235</v>
      </c>
      <c r="F44" s="60">
        <f t="shared" si="42"/>
        <v>121.03129404111426</v>
      </c>
      <c r="G44" s="60">
        <f t="shared" si="42"/>
        <v>141.03129404111425</v>
      </c>
      <c r="H44" s="60">
        <f t="shared" si="42"/>
        <v>121.03129404111426</v>
      </c>
      <c r="I44" s="60">
        <f t="shared" si="42"/>
        <v>141.03129404111425</v>
      </c>
      <c r="J44" s="60">
        <f t="shared" si="42"/>
        <v>121.03129404111426</v>
      </c>
      <c r="M44" s="60">
        <f t="shared" si="43"/>
        <v>153.24108042883776</v>
      </c>
      <c r="N44" s="60" t="e">
        <f t="shared" si="43"/>
        <v>#VALUE!</v>
      </c>
      <c r="O44" s="60">
        <f t="shared" si="43"/>
        <v>153.03686624929574</v>
      </c>
      <c r="P44" s="60" t="e">
        <f t="shared" si="43"/>
        <v>#VALUE!</v>
      </c>
    </row>
    <row r="45" spans="1:19" x14ac:dyDescent="0.35">
      <c r="A45" s="5" t="s">
        <v>40</v>
      </c>
      <c r="B45" s="42" t="s">
        <v>21</v>
      </c>
      <c r="C45" s="60">
        <f t="shared" ref="C45:J45" si="44">C36+$C$38</f>
        <v>166.86580180416115</v>
      </c>
      <c r="D45" s="60">
        <f t="shared" si="44"/>
        <v>148.11708661207089</v>
      </c>
      <c r="E45" s="60">
        <f t="shared" si="44"/>
        <v>164.50102308817239</v>
      </c>
      <c r="F45" s="60">
        <f t="shared" si="44"/>
        <v>152.35054184387511</v>
      </c>
      <c r="G45" s="60">
        <f t="shared" si="44"/>
        <v>163.53129404111425</v>
      </c>
      <c r="H45" s="60">
        <f t="shared" si="44"/>
        <v>143.53129404111425</v>
      </c>
      <c r="I45" s="60">
        <f t="shared" si="44"/>
        <v>163.53129404111425</v>
      </c>
      <c r="J45" s="60">
        <f t="shared" si="44"/>
        <v>143.53129404111425</v>
      </c>
      <c r="M45" s="60" t="e">
        <f>M36+$C$38</f>
        <v>#VALUE!</v>
      </c>
      <c r="N45" s="60" t="e">
        <f>N36+$C$38</f>
        <v>#VALUE!</v>
      </c>
      <c r="O45" s="60" t="e">
        <f>O36+$C$38</f>
        <v>#VALUE!</v>
      </c>
      <c r="P45" s="60" t="e">
        <f>P36+$C$38</f>
        <v>#VALUE!</v>
      </c>
    </row>
    <row r="46" spans="1:19" x14ac:dyDescent="0.35">
      <c r="A46" s="8" t="s">
        <v>0</v>
      </c>
      <c r="B46" s="11"/>
      <c r="C46" s="72"/>
      <c r="D46" s="72"/>
      <c r="E46" s="72"/>
      <c r="F46" s="72"/>
      <c r="G46" s="72"/>
      <c r="H46" s="72"/>
      <c r="I46" s="72"/>
      <c r="J46" s="72"/>
      <c r="M46" s="72"/>
      <c r="N46" s="72"/>
      <c r="O46" s="72"/>
      <c r="P46" s="72"/>
    </row>
    <row r="47" spans="1:19" x14ac:dyDescent="0.35">
      <c r="A47" s="5" t="s">
        <v>18</v>
      </c>
      <c r="B47" s="7" t="s">
        <v>19</v>
      </c>
      <c r="C47" s="70">
        <v>8</v>
      </c>
      <c r="D47" s="70">
        <v>8</v>
      </c>
      <c r="E47" s="70">
        <v>8</v>
      </c>
      <c r="F47" s="70">
        <v>8</v>
      </c>
      <c r="G47" s="70">
        <v>8</v>
      </c>
      <c r="H47" s="70">
        <v>8</v>
      </c>
      <c r="I47" s="70"/>
      <c r="J47" s="70"/>
      <c r="M47" s="70">
        <v>8</v>
      </c>
      <c r="N47" s="70">
        <v>8</v>
      </c>
      <c r="O47" s="70">
        <v>8</v>
      </c>
      <c r="P47" s="70">
        <v>8</v>
      </c>
    </row>
    <row r="48" spans="1:19" x14ac:dyDescent="0.35">
      <c r="A48" s="5" t="s">
        <v>192</v>
      </c>
      <c r="B48" s="7"/>
      <c r="C48" s="109">
        <f>C42</f>
        <v>152.79278237489456</v>
      </c>
      <c r="D48" s="109">
        <f t="shared" ref="D48:H48" si="45">D42</f>
        <v>134.0440671828043</v>
      </c>
      <c r="E48" s="109">
        <f t="shared" si="45"/>
        <v>150.42800365890579</v>
      </c>
      <c r="F48" s="109">
        <f t="shared" si="45"/>
        <v>138.27752241460851</v>
      </c>
      <c r="G48" s="109">
        <f t="shared" si="45"/>
        <v>149.45827461184766</v>
      </c>
      <c r="H48" s="109">
        <f t="shared" si="45"/>
        <v>129.45827461184766</v>
      </c>
      <c r="I48" s="109">
        <f t="shared" ref="I48:J48" si="46">I42</f>
        <v>149.45827461184766</v>
      </c>
      <c r="J48" s="109">
        <f t="shared" si="46"/>
        <v>129.45827461184766</v>
      </c>
      <c r="M48" s="109" t="e">
        <f>M42</f>
        <v>#VALUE!</v>
      </c>
      <c r="N48" s="109" t="e">
        <f t="shared" ref="N48:P48" si="47">N42</f>
        <v>#VALUE!</v>
      </c>
      <c r="O48" s="109" t="e">
        <f>O42</f>
        <v>#VALUE!</v>
      </c>
      <c r="P48" s="109" t="e">
        <f t="shared" si="47"/>
        <v>#VALUE!</v>
      </c>
    </row>
    <row r="49" spans="1:16" x14ac:dyDescent="0.35">
      <c r="A49" s="5" t="s">
        <v>191</v>
      </c>
      <c r="B49" s="7"/>
      <c r="C49" s="109">
        <f>C45</f>
        <v>166.86580180416115</v>
      </c>
      <c r="D49" s="109">
        <f t="shared" ref="D49:H49" si="48">D45</f>
        <v>148.11708661207089</v>
      </c>
      <c r="E49" s="109">
        <f t="shared" si="48"/>
        <v>164.50102308817239</v>
      </c>
      <c r="F49" s="109">
        <f t="shared" si="48"/>
        <v>152.35054184387511</v>
      </c>
      <c r="G49" s="109">
        <f t="shared" si="48"/>
        <v>163.53129404111425</v>
      </c>
      <c r="H49" s="109">
        <f t="shared" si="48"/>
        <v>143.53129404111425</v>
      </c>
      <c r="I49" s="109">
        <f t="shared" ref="I49:J49" si="49">I45</f>
        <v>163.53129404111425</v>
      </c>
      <c r="J49" s="109">
        <f t="shared" si="49"/>
        <v>143.53129404111425</v>
      </c>
      <c r="M49" s="109" t="e">
        <f>M45</f>
        <v>#VALUE!</v>
      </c>
      <c r="N49" s="109" t="e">
        <f t="shared" ref="N49:P49" si="50">N45</f>
        <v>#VALUE!</v>
      </c>
      <c r="O49" s="109" t="e">
        <f>O45</f>
        <v>#VALUE!</v>
      </c>
      <c r="P49" s="109" t="e">
        <f t="shared" si="50"/>
        <v>#VALUE!</v>
      </c>
    </row>
    <row r="50" spans="1:16" x14ac:dyDescent="0.35">
      <c r="A50" s="5" t="s">
        <v>190</v>
      </c>
      <c r="B50" s="7"/>
      <c r="C50" s="99">
        <f>C$30/(C$47*3600)</f>
        <v>132.2679458248611</v>
      </c>
      <c r="D50" s="99">
        <f t="shared" ref="D50:J50" si="51">D$30/(D$47*3600)</f>
        <v>73.038262696527781</v>
      </c>
      <c r="E50" s="99">
        <f t="shared" si="51"/>
        <v>147.56615348724208</v>
      </c>
      <c r="F50" s="99">
        <f t="shared" si="51"/>
        <v>147.56615348724208</v>
      </c>
      <c r="G50" s="99">
        <f t="shared" si="51"/>
        <v>128.29975815124999</v>
      </c>
      <c r="H50" s="99">
        <f t="shared" si="51"/>
        <v>73.038262696527781</v>
      </c>
      <c r="I50" s="99" t="e">
        <f t="shared" si="51"/>
        <v>#DIV/0!</v>
      </c>
      <c r="J50" s="99" t="e">
        <f t="shared" si="51"/>
        <v>#DIV/0!</v>
      </c>
      <c r="L50" s="99"/>
      <c r="M50" s="99">
        <f>M$30/(M$47*3600)</f>
        <v>72.282208310845178</v>
      </c>
      <c r="N50" s="99">
        <f t="shared" ref="N50:P50" si="52">N$30/(N$47*3600)</f>
        <v>83.640009006481435</v>
      </c>
      <c r="O50" s="99">
        <f>O$30/(O$47*3600)</f>
        <v>73.693562579257019</v>
      </c>
      <c r="P50" s="99">
        <f t="shared" si="52"/>
        <v>81.409947333033671</v>
      </c>
    </row>
    <row r="51" spans="1:16" x14ac:dyDescent="0.35">
      <c r="A51" s="5" t="s">
        <v>193</v>
      </c>
      <c r="B51" s="7"/>
      <c r="C51" s="99">
        <f t="shared" ref="C51:J51" si="53">C52*1000/(9.81/$B$53*C49)</f>
        <v>93.68076461759378</v>
      </c>
      <c r="D51" s="99">
        <f t="shared" si="53"/>
        <v>54.194628742403452</v>
      </c>
      <c r="E51" s="99">
        <f t="shared" si="53"/>
        <v>109.95748224912985</v>
      </c>
      <c r="F51" s="99">
        <f t="shared" si="53"/>
        <v>109.6237190497222</v>
      </c>
      <c r="G51" s="99">
        <f t="shared" si="53"/>
        <v>95.579739053150448</v>
      </c>
      <c r="H51" s="99">
        <f t="shared" si="53"/>
        <v>54.121129324539027</v>
      </c>
      <c r="I51" s="99" t="e">
        <f t="shared" si="53"/>
        <v>#DIV/0!</v>
      </c>
      <c r="J51" s="99" t="e">
        <f t="shared" si="53"/>
        <v>#DIV/0!</v>
      </c>
      <c r="M51" s="99" t="e">
        <f>M52*1000/(9.81/$B$53*M49)</f>
        <v>#VALUE!</v>
      </c>
      <c r="N51" s="99" t="e">
        <f>N52*1000/(9.81/$B$53*N49)</f>
        <v>#VALUE!</v>
      </c>
      <c r="O51" s="99" t="e">
        <f>O52*1000/(9.81/$B$53*O49)</f>
        <v>#VALUE!</v>
      </c>
      <c r="P51" s="99" t="e">
        <f>P52*1000/(9.81/$B$53*P49)</f>
        <v>#VALUE!</v>
      </c>
    </row>
    <row r="52" spans="1:16" x14ac:dyDescent="0.35">
      <c r="A52" s="5" t="s">
        <v>187</v>
      </c>
      <c r="B52" s="7" t="s">
        <v>17</v>
      </c>
      <c r="C52" s="65">
        <f>9.81*0.85*C50*C42/1000</f>
        <v>168.51764504848776</v>
      </c>
      <c r="D52" s="65">
        <f t="shared" ref="D52:J52" si="54">9.81*0.85*D50*D36/1000</f>
        <v>86.534446807472477</v>
      </c>
      <c r="E52" s="65">
        <f t="shared" si="54"/>
        <v>194.99389096685681</v>
      </c>
      <c r="F52" s="65">
        <f t="shared" si="54"/>
        <v>180.04296229932703</v>
      </c>
      <c r="G52" s="65">
        <f t="shared" si="54"/>
        <v>168.49783650171116</v>
      </c>
      <c r="H52" s="65">
        <f t="shared" si="54"/>
        <v>83.741563605562064</v>
      </c>
      <c r="I52" s="65" t="e">
        <f t="shared" si="54"/>
        <v>#DIV/0!</v>
      </c>
      <c r="J52" s="65" t="e">
        <f t="shared" si="54"/>
        <v>#DIV/0!</v>
      </c>
      <c r="M52" s="65" t="e">
        <f>9.81*0.85*M50*M42/1000</f>
        <v>#VALUE!</v>
      </c>
      <c r="N52" s="65" t="e">
        <f>9.81*0.85*N50*N36/1000</f>
        <v>#VALUE!</v>
      </c>
      <c r="O52" s="65" t="e">
        <f>9.81*0.85*O50*O42/1000</f>
        <v>#VALUE!</v>
      </c>
      <c r="P52" s="65" t="e">
        <f>9.81*0.85*P50*P36/1000</f>
        <v>#VALUE!</v>
      </c>
    </row>
    <row r="53" spans="1:16" x14ac:dyDescent="0.35">
      <c r="B53">
        <v>0.91</v>
      </c>
    </row>
    <row r="54" spans="1:16" x14ac:dyDescent="0.35">
      <c r="A54" s="5" t="s">
        <v>185</v>
      </c>
      <c r="C54" s="65">
        <v>100</v>
      </c>
      <c r="D54" s="65">
        <v>100</v>
      </c>
      <c r="E54" s="65">
        <v>100</v>
      </c>
      <c r="F54" s="65">
        <v>100</v>
      </c>
      <c r="G54" s="65">
        <v>100</v>
      </c>
      <c r="H54" s="65">
        <v>100</v>
      </c>
      <c r="I54" s="65">
        <v>100</v>
      </c>
      <c r="J54" s="65">
        <v>100</v>
      </c>
      <c r="M54" s="65">
        <v>100</v>
      </c>
      <c r="N54" s="65">
        <v>100</v>
      </c>
      <c r="O54" s="65">
        <v>100</v>
      </c>
      <c r="P54" s="65">
        <v>100</v>
      </c>
    </row>
    <row r="55" spans="1:16" x14ac:dyDescent="0.35">
      <c r="A55" s="6" t="s">
        <v>197</v>
      </c>
      <c r="C55" s="99">
        <f t="shared" ref="C55:J55" si="55">C54*1000/(9.81*$B$53*C42)</f>
        <v>73.313973933312994</v>
      </c>
      <c r="D55" s="99">
        <f t="shared" si="55"/>
        <v>83.568383887924881</v>
      </c>
      <c r="E55" s="99">
        <f t="shared" si="55"/>
        <v>74.466494214943339</v>
      </c>
      <c r="F55" s="99">
        <f t="shared" si="55"/>
        <v>81.009884098472597</v>
      </c>
      <c r="G55" s="99">
        <f t="shared" si="55"/>
        <v>74.949654633196246</v>
      </c>
      <c r="H55" s="99">
        <f t="shared" si="55"/>
        <v>86.528621656805413</v>
      </c>
      <c r="I55" s="99">
        <f t="shared" si="55"/>
        <v>74.949654633196246</v>
      </c>
      <c r="J55" s="99">
        <f t="shared" si="55"/>
        <v>86.528621656805413</v>
      </c>
      <c r="L55" s="99"/>
      <c r="M55" s="99" t="e">
        <f>M54*1000/(9.81*$B$53*M42)</f>
        <v>#VALUE!</v>
      </c>
      <c r="N55" s="99" t="e">
        <f>N54*1000/(9.81*$B$53*N42)</f>
        <v>#VALUE!</v>
      </c>
      <c r="O55" s="99" t="e">
        <f>O54*1000/(9.81*$B$53*O42)</f>
        <v>#VALUE!</v>
      </c>
      <c r="P55" s="99" t="e">
        <f>P54*1000/(9.81*$B$53*P42)</f>
        <v>#VALUE!</v>
      </c>
    </row>
    <row r="56" spans="1:16" x14ac:dyDescent="0.35">
      <c r="A56" s="6" t="s">
        <v>174</v>
      </c>
      <c r="B56" s="30"/>
      <c r="C56" s="102">
        <f>C55*3600*C47</f>
        <v>2111442.449279414</v>
      </c>
      <c r="D56" s="102">
        <f t="shared" ref="D56:G56" si="56">D55*3600*D47</f>
        <v>2406769.4559722366</v>
      </c>
      <c r="E56" s="102">
        <f t="shared" si="56"/>
        <v>2144635.0333903683</v>
      </c>
      <c r="F56" s="102">
        <f t="shared" si="56"/>
        <v>2333084.662036011</v>
      </c>
      <c r="G56" s="102">
        <f t="shared" si="56"/>
        <v>2158550.0534360521</v>
      </c>
      <c r="H56" s="102">
        <f>H55*3600*H47</f>
        <v>2492024.303715996</v>
      </c>
      <c r="I56" s="102">
        <f t="shared" ref="I56" si="57">I55*3600*I47</f>
        <v>0</v>
      </c>
      <c r="J56" s="102">
        <f>J55*3600*J47</f>
        <v>0</v>
      </c>
      <c r="M56" s="102">
        <v>2081727.5993523411</v>
      </c>
      <c r="N56" s="102">
        <v>2408832.2593866652</v>
      </c>
      <c r="O56" s="102">
        <v>2122374.6022826023</v>
      </c>
      <c r="P56" s="102">
        <v>2344606.4831913696</v>
      </c>
    </row>
    <row r="57" spans="1:16" x14ac:dyDescent="0.35">
      <c r="A57" s="6" t="s">
        <v>194</v>
      </c>
      <c r="B57" s="30"/>
      <c r="C57" s="110">
        <f t="shared" ref="C57:J57" si="58">C30-C56</f>
        <v>1697874.3904765858</v>
      </c>
      <c r="D57" s="110">
        <f t="shared" si="58"/>
        <v>-303267.49031223636</v>
      </c>
      <c r="E57" s="110">
        <f t="shared" si="58"/>
        <v>2105270.1870422037</v>
      </c>
      <c r="F57" s="110">
        <f t="shared" si="58"/>
        <v>1916820.5583965611</v>
      </c>
      <c r="G57" s="110">
        <f t="shared" si="58"/>
        <v>1536482.9813199476</v>
      </c>
      <c r="H57" s="110">
        <f t="shared" si="58"/>
        <v>-388522.33805599576</v>
      </c>
      <c r="I57" s="110">
        <f t="shared" si="58"/>
        <v>3695033.0347559997</v>
      </c>
      <c r="J57" s="110">
        <f t="shared" si="58"/>
        <v>2103501.9656600002</v>
      </c>
      <c r="L57" s="110"/>
      <c r="M57" s="110">
        <f>M30-M56</f>
        <v>0</v>
      </c>
      <c r="N57" s="110">
        <f t="shared" ref="N57" si="59">N30-N56</f>
        <v>0</v>
      </c>
      <c r="O57" s="110">
        <f>O30-O56</f>
        <v>0</v>
      </c>
      <c r="P57" s="110">
        <f t="shared" ref="P57" si="60">P30-P56</f>
        <v>0</v>
      </c>
    </row>
    <row r="59" spans="1:16" x14ac:dyDescent="0.35">
      <c r="A59" s="5" t="s">
        <v>45</v>
      </c>
      <c r="B59" s="36">
        <v>1.6284000000000001</v>
      </c>
      <c r="C59" s="23">
        <f>5*10^-7*C40^2-0.001*C40+$B$59</f>
        <v>1.4673713096727949</v>
      </c>
      <c r="D59" s="23">
        <f t="shared" ref="D59:P59" si="61">5*10^-7*D40^2-0.001*D40+$B$59</f>
        <v>1.4879873839996574</v>
      </c>
      <c r="E59" s="23">
        <f t="shared" si="61"/>
        <v>1.4668317752266604</v>
      </c>
      <c r="F59" s="23">
        <f t="shared" si="61"/>
        <v>1.4731847620167122</v>
      </c>
      <c r="G59" s="23">
        <f t="shared" si="61"/>
        <v>1.4712265494918941</v>
      </c>
      <c r="H59" s="23">
        <f t="shared" si="61"/>
        <v>1.4879873839996574</v>
      </c>
      <c r="I59" s="23">
        <f t="shared" ref="I59:J59" si="62">5*10^-7*I40^2-0.001*I40+$B$59</f>
        <v>1.4712265494918941</v>
      </c>
      <c r="J59" s="23">
        <f t="shared" si="62"/>
        <v>1.4879873839996574</v>
      </c>
      <c r="L59" s="23"/>
      <c r="M59" s="23" t="e">
        <f>5*10^-7*M40^2-0.001*M40+$B$59</f>
        <v>#VALUE!</v>
      </c>
      <c r="N59" s="23">
        <f t="shared" si="61"/>
        <v>1.4712265494918941</v>
      </c>
      <c r="O59" s="23" t="e">
        <f t="shared" si="61"/>
        <v>#VALUE!</v>
      </c>
      <c r="P59" s="23">
        <f t="shared" si="61"/>
        <v>1.4712265494918941</v>
      </c>
    </row>
    <row r="60" spans="1:16" x14ac:dyDescent="0.35">
      <c r="A60" s="22" t="s">
        <v>46</v>
      </c>
      <c r="B60" s="21"/>
      <c r="C60" s="20">
        <f t="shared" ref="C60:J60" si="63">C43/C41</f>
        <v>1.4787752871321995</v>
      </c>
      <c r="D60" s="20">
        <f t="shared" si="63"/>
        <v>1.4297037333306279</v>
      </c>
      <c r="E60" s="20">
        <f t="shared" si="63"/>
        <v>1.5485224237159219</v>
      </c>
      <c r="F60" s="20">
        <f t="shared" si="63"/>
        <v>1.7172097279352623</v>
      </c>
      <c r="G60" s="20">
        <f t="shared" si="63"/>
        <v>1.4652947561698664</v>
      </c>
      <c r="H60" s="20">
        <f t="shared" si="63"/>
        <v>1.5522996667966364</v>
      </c>
      <c r="I60" s="20">
        <f t="shared" si="63"/>
        <v>1.4652947561698664</v>
      </c>
      <c r="J60" s="20">
        <f t="shared" si="63"/>
        <v>1.5522996667966364</v>
      </c>
      <c r="M60" s="20" t="e">
        <f>M43/M41</f>
        <v>#VALUE!</v>
      </c>
      <c r="N60" s="20" t="e">
        <f>N43/N41</f>
        <v>#VALUE!</v>
      </c>
      <c r="O60" s="20" t="e">
        <f>O43/O41</f>
        <v>#VALUE!</v>
      </c>
      <c r="P60" s="20" t="e">
        <f>P43/P41</f>
        <v>#VALUE!</v>
      </c>
    </row>
    <row r="61" spans="1:16" x14ac:dyDescent="0.35">
      <c r="A61" s="22" t="s">
        <v>173</v>
      </c>
      <c r="B61" s="21"/>
      <c r="C61" s="20" t="str">
        <f>IF(C60&lt;=C59,"OK","Out of Range")</f>
        <v>Out of Range</v>
      </c>
      <c r="D61" s="20" t="str">
        <f>IF(D60&lt;=D59,"OK","Out of Range")</f>
        <v>OK</v>
      </c>
      <c r="E61" s="20" t="str">
        <f>IF(E60&lt;=E59,"OK","Out of Range")</f>
        <v>Out of Range</v>
      </c>
      <c r="F61" s="20" t="str">
        <f>IF(F60&lt;=F59,"OK","Out of Range")</f>
        <v>Out of Range</v>
      </c>
      <c r="G61" s="20" t="str">
        <f t="shared" ref="G61" si="64">IF(G60&lt;=G59,"OK","Out of Range")</f>
        <v>OK</v>
      </c>
      <c r="H61" s="20" t="str">
        <f t="shared" ref="H61" si="65">IF(H60&lt;=H59,"OK","Out of Range")</f>
        <v>Out of Range</v>
      </c>
      <c r="I61" s="20" t="str">
        <f t="shared" ref="I61" si="66">IF(I60&lt;=I59,"OK","Out of Range")</f>
        <v>OK</v>
      </c>
      <c r="J61" s="20" t="str">
        <f t="shared" ref="J61" si="67">IF(J60&lt;=J59,"OK","Out of Range")</f>
        <v>Out of Range</v>
      </c>
      <c r="M61" s="20" t="e">
        <f>IF(M60&lt;=M59,"OK","Out of Range")</f>
        <v>#VALUE!</v>
      </c>
      <c r="N61" s="20" t="e">
        <f>IF(N60&lt;=N59,"OK","Out of Range")</f>
        <v>#VALUE!</v>
      </c>
      <c r="O61" s="20" t="e">
        <f>IF(O60&lt;=O59,"OK","Out of Range")</f>
        <v>#VALUE!</v>
      </c>
      <c r="P61" s="20" t="e">
        <f>IF(P60&lt;=P59,"OK","Out of Range")</f>
        <v>#VALUE!</v>
      </c>
    </row>
    <row r="64" spans="1:16" x14ac:dyDescent="0.35">
      <c r="A64" s="22"/>
      <c r="B64" s="21"/>
      <c r="C64" s="20"/>
      <c r="D64" s="20"/>
      <c r="E64" s="20"/>
      <c r="F64" s="20"/>
      <c r="G64" s="20"/>
      <c r="H64" s="20"/>
      <c r="I64" s="20"/>
      <c r="J64" s="20"/>
      <c r="M64" s="20"/>
      <c r="N64" s="20"/>
      <c r="O64" s="20"/>
      <c r="P64" s="20"/>
    </row>
    <row r="65" spans="1:42" x14ac:dyDescent="0.35">
      <c r="A65" s="12"/>
      <c r="B65" s="18"/>
      <c r="C65" s="67"/>
      <c r="D65" s="67"/>
      <c r="E65" s="67"/>
      <c r="F65" s="67"/>
      <c r="G65" s="67"/>
      <c r="H65" s="67"/>
      <c r="I65" s="67"/>
      <c r="J65" s="67"/>
      <c r="M65" s="67"/>
      <c r="N65" s="67"/>
      <c r="O65" s="67"/>
      <c r="P65" s="67"/>
    </row>
    <row r="66" spans="1:42" x14ac:dyDescent="0.35">
      <c r="A66" s="12"/>
      <c r="B66" s="18"/>
      <c r="C66" s="67"/>
      <c r="D66" s="67"/>
      <c r="E66" s="67"/>
      <c r="F66" s="67"/>
      <c r="G66" s="67"/>
      <c r="H66" s="67"/>
      <c r="I66" s="67"/>
      <c r="J66" s="67"/>
      <c r="M66" s="67"/>
      <c r="N66" s="67"/>
      <c r="O66" s="67"/>
      <c r="P66" s="67"/>
    </row>
    <row r="67" spans="1:42" x14ac:dyDescent="0.35">
      <c r="A67" s="12"/>
      <c r="B67" s="18"/>
      <c r="C67" s="67"/>
      <c r="D67" s="67"/>
      <c r="E67" s="67"/>
      <c r="F67" s="67"/>
      <c r="G67" s="67"/>
      <c r="H67" s="67"/>
      <c r="I67" s="67"/>
      <c r="J67" s="67"/>
      <c r="M67" s="67"/>
      <c r="N67" s="67"/>
      <c r="O67" s="67"/>
      <c r="P67" s="67"/>
    </row>
    <row r="68" spans="1:42" x14ac:dyDescent="0.35">
      <c r="A68" s="12"/>
      <c r="B68" s="18"/>
      <c r="C68" s="67"/>
      <c r="D68" s="67"/>
      <c r="E68" s="67"/>
      <c r="F68" s="67"/>
      <c r="G68" s="67"/>
      <c r="H68" s="67"/>
      <c r="I68" s="67"/>
      <c r="J68" s="67"/>
      <c r="M68" s="67"/>
      <c r="N68" s="67"/>
      <c r="O68" s="67"/>
      <c r="P68" s="67"/>
    </row>
    <row r="69" spans="1:42" s="37" customFormat="1" x14ac:dyDescent="0.35">
      <c r="A69" s="12"/>
      <c r="B69" s="18"/>
      <c r="C69" s="17"/>
      <c r="D69" s="17"/>
      <c r="E69" s="17"/>
      <c r="F69" s="17"/>
      <c r="G69" s="17"/>
      <c r="H69" s="17"/>
      <c r="I69" s="17"/>
      <c r="J69" s="17"/>
      <c r="K69"/>
      <c r="L69"/>
      <c r="M69" s="17"/>
      <c r="N69" s="17"/>
      <c r="O69" s="17"/>
      <c r="P69" s="17"/>
      <c r="Q69"/>
      <c r="R69"/>
      <c r="S69"/>
      <c r="T69"/>
      <c r="U69"/>
      <c r="V69"/>
      <c r="W69"/>
      <c r="X69"/>
      <c r="Y69"/>
      <c r="Z69"/>
      <c r="AA69"/>
      <c r="AB69"/>
      <c r="AC69"/>
      <c r="AD69"/>
      <c r="AE69"/>
      <c r="AF69"/>
      <c r="AG69"/>
      <c r="AH69"/>
      <c r="AI69"/>
      <c r="AJ69"/>
      <c r="AK69"/>
      <c r="AL69"/>
      <c r="AM69"/>
      <c r="AN69"/>
      <c r="AO69"/>
      <c r="AP69"/>
    </row>
    <row r="70" spans="1:42" x14ac:dyDescent="0.35">
      <c r="A70" s="5" t="s">
        <v>175</v>
      </c>
      <c r="B70" s="7" t="s">
        <v>26</v>
      </c>
      <c r="C70" s="4" t="e">
        <f>C$52*1000/(9.81*#REF!*C40)</f>
        <v>#REF!</v>
      </c>
      <c r="D70" s="4" t="e">
        <f>D$52*1000/(9.81*#REF!*D40)</f>
        <v>#REF!</v>
      </c>
      <c r="E70" s="4" t="e">
        <f>E$52*1000/(9.81*#REF!*E40)</f>
        <v>#REF!</v>
      </c>
      <c r="F70" s="4" t="e">
        <f>F$52*1000/(9.81*#REF!*F40)</f>
        <v>#REF!</v>
      </c>
      <c r="G70" s="4"/>
      <c r="H70" s="4"/>
      <c r="I70" s="4"/>
      <c r="J70" s="4"/>
      <c r="M70" s="4" t="e">
        <f>M$52*1000/(9.81*#REF!*M40)</f>
        <v>#VALUE!</v>
      </c>
      <c r="N70" s="4" t="e">
        <f>N$52*1000/(9.81*#REF!*N40)</f>
        <v>#VALUE!</v>
      </c>
      <c r="O70" s="4" t="e">
        <f>O$52*1000/(9.81*#REF!*O40)</f>
        <v>#VALUE!</v>
      </c>
      <c r="P70" s="4" t="e">
        <f>P$52*1000/(9.81*#REF!*P40)</f>
        <v>#VALUE!</v>
      </c>
    </row>
    <row r="71" spans="1:42" x14ac:dyDescent="0.35">
      <c r="A71" s="5" t="s">
        <v>176</v>
      </c>
      <c r="B71" s="7" t="s">
        <v>26</v>
      </c>
      <c r="C71" s="4" t="e">
        <f>C$52*1000/(9.81*#REF!*C41)</f>
        <v>#REF!</v>
      </c>
      <c r="D71" s="4" t="e">
        <f>D$52*1000/(9.81*#REF!*D41)</f>
        <v>#REF!</v>
      </c>
      <c r="E71" s="4" t="e">
        <f>E$52*1000/(9.81*#REF!*E41)</f>
        <v>#REF!</v>
      </c>
      <c r="F71" s="4" t="e">
        <f>F$52*1000/(9.81*#REF!*F41)</f>
        <v>#REF!</v>
      </c>
      <c r="G71" s="4"/>
      <c r="H71" s="4"/>
      <c r="I71" s="4"/>
      <c r="J71" s="4"/>
      <c r="M71" s="4" t="e">
        <f>M$52*1000/(9.81*#REF!*M41)</f>
        <v>#VALUE!</v>
      </c>
      <c r="N71" s="4" t="e">
        <f>N$52*1000/(9.81*#REF!*N41)</f>
        <v>#VALUE!</v>
      </c>
      <c r="O71" s="4" t="e">
        <f>O$52*1000/(9.81*#REF!*O41)</f>
        <v>#VALUE!</v>
      </c>
      <c r="P71" s="4" t="e">
        <f>P$52*1000/(9.81*#REF!*P41)</f>
        <v>#VALUE!</v>
      </c>
    </row>
    <row r="72" spans="1:42" x14ac:dyDescent="0.35">
      <c r="A72" s="5" t="s">
        <v>177</v>
      </c>
      <c r="B72" s="7" t="s">
        <v>26</v>
      </c>
      <c r="C72" s="4" t="e">
        <f>C$52*1000/(9.81*#REF!*C42)</f>
        <v>#REF!</v>
      </c>
      <c r="D72" s="4" t="e">
        <f>D$52*1000/(9.81*#REF!*D42)</f>
        <v>#REF!</v>
      </c>
      <c r="E72" s="4" t="e">
        <f>E$52*1000/(9.81*#REF!*E42)</f>
        <v>#REF!</v>
      </c>
      <c r="F72" s="4" t="e">
        <f>F$52*1000/(9.81*#REF!*F42)</f>
        <v>#REF!</v>
      </c>
      <c r="G72" s="4"/>
      <c r="H72" s="4"/>
      <c r="I72" s="4"/>
      <c r="J72" s="4"/>
      <c r="M72" s="4" t="e">
        <f>M$52*1000/(9.81*#REF!*M42)</f>
        <v>#VALUE!</v>
      </c>
      <c r="N72" s="4" t="e">
        <f>N$52*1000/(9.81*#REF!*N42)</f>
        <v>#VALUE!</v>
      </c>
      <c r="O72" s="4" t="e">
        <f>O$52*1000/(9.81*#REF!*O42)</f>
        <v>#VALUE!</v>
      </c>
      <c r="P72" s="4" t="e">
        <f>P$52*1000/(9.81*#REF!*P42)</f>
        <v>#VALUE!</v>
      </c>
    </row>
    <row r="73" spans="1:42" x14ac:dyDescent="0.35">
      <c r="A73" s="5" t="s">
        <v>178</v>
      </c>
      <c r="B73" s="7" t="s">
        <v>26</v>
      </c>
      <c r="C73" s="4" t="e">
        <f>C$52*1000/(9.81*#REF!*C43)</f>
        <v>#REF!</v>
      </c>
      <c r="D73" s="4" t="e">
        <f>D$52*1000/(9.81*#REF!*D43)</f>
        <v>#REF!</v>
      </c>
      <c r="E73" s="4" t="e">
        <f>E$52*1000/(9.81*#REF!*E43)</f>
        <v>#REF!</v>
      </c>
      <c r="F73" s="4" t="e">
        <f>F$52*1000/(9.81*#REF!*F43)</f>
        <v>#REF!</v>
      </c>
      <c r="G73" s="4"/>
      <c r="H73" s="4"/>
      <c r="I73" s="4"/>
      <c r="J73" s="4"/>
      <c r="M73" s="4" t="e">
        <f>M$52*1000/(9.81*#REF!*M43)</f>
        <v>#VALUE!</v>
      </c>
      <c r="N73" s="4" t="e">
        <f>N$52*1000/(9.81*#REF!*N43)</f>
        <v>#VALUE!</v>
      </c>
      <c r="O73" s="4" t="e">
        <f>O$52*1000/(9.81*#REF!*O43)</f>
        <v>#VALUE!</v>
      </c>
      <c r="P73" s="4" t="e">
        <f>P$52*1000/(9.81*#REF!*P43)</f>
        <v>#VALUE!</v>
      </c>
    </row>
    <row r="74" spans="1:42" x14ac:dyDescent="0.35">
      <c r="A74" s="5" t="s">
        <v>178</v>
      </c>
      <c r="B74" s="7" t="s">
        <v>26</v>
      </c>
      <c r="C74" s="4" t="e">
        <f>C$52*1000/(9.81*#REF!*C44)</f>
        <v>#REF!</v>
      </c>
      <c r="D74" s="4" t="e">
        <f>D$52*1000/(9.81*#REF!*D44)</f>
        <v>#REF!</v>
      </c>
      <c r="E74" s="4" t="e">
        <f>E$52*1000/(9.81*#REF!*E44)</f>
        <v>#REF!</v>
      </c>
      <c r="F74" s="4" t="e">
        <f>F$52*1000/(9.81*#REF!*F44)</f>
        <v>#REF!</v>
      </c>
      <c r="G74" s="4"/>
      <c r="H74" s="4"/>
      <c r="I74" s="4"/>
      <c r="J74" s="4"/>
      <c r="M74" s="4" t="e">
        <f>M$52*1000/(9.81*#REF!*M44)</f>
        <v>#VALUE!</v>
      </c>
      <c r="N74" s="4" t="e">
        <f>N$52*1000/(9.81*#REF!*N44)</f>
        <v>#VALUE!</v>
      </c>
      <c r="O74" s="4" t="e">
        <f>O$52*1000/(9.81*#REF!*O44)</f>
        <v>#VALUE!</v>
      </c>
      <c r="P74" s="4" t="e">
        <f>P$52*1000/(9.81*#REF!*P44)</f>
        <v>#VALUE!</v>
      </c>
    </row>
    <row r="75" spans="1:42" x14ac:dyDescent="0.35">
      <c r="A75" s="5" t="s">
        <v>179</v>
      </c>
      <c r="B75" s="7" t="s">
        <v>26</v>
      </c>
      <c r="C75" s="4" t="e">
        <f>C$52*1000/(9.81*#REF!*C45)</f>
        <v>#REF!</v>
      </c>
      <c r="D75" s="4" t="e">
        <f>D$52*1000/(9.81*#REF!*D45)</f>
        <v>#REF!</v>
      </c>
      <c r="E75" s="4" t="e">
        <f>E$52*1000/(9.81*#REF!*E45)</f>
        <v>#REF!</v>
      </c>
      <c r="F75" s="4" t="e">
        <f>F$52*1000/(9.81*#REF!*F45)</f>
        <v>#REF!</v>
      </c>
      <c r="G75" s="4"/>
      <c r="H75" s="4"/>
      <c r="I75" s="4"/>
      <c r="J75" s="4"/>
      <c r="M75" s="4" t="e">
        <f>M$52*1000/(9.81*#REF!*M45)</f>
        <v>#VALUE!</v>
      </c>
      <c r="N75" s="4" t="e">
        <f>N$52*1000/(9.81*#REF!*N45)</f>
        <v>#VALUE!</v>
      </c>
      <c r="O75" s="4" t="e">
        <f>O$52*1000/(9.81*#REF!*O45)</f>
        <v>#VALUE!</v>
      </c>
      <c r="P75" s="4" t="e">
        <f>P$52*1000/(9.81*#REF!*P45)</f>
        <v>#VALUE!</v>
      </c>
    </row>
    <row r="76" spans="1:42" x14ac:dyDescent="0.35">
      <c r="C76" s="4"/>
      <c r="D76" s="4"/>
      <c r="E76" s="4"/>
      <c r="F76" s="4"/>
      <c r="G76" s="4"/>
      <c r="H76" s="4"/>
      <c r="I76" s="4"/>
      <c r="J76" s="4"/>
      <c r="M76" s="4"/>
      <c r="N76" s="4"/>
      <c r="O76" s="4"/>
      <c r="P76" s="4"/>
    </row>
    <row r="80" spans="1:42" x14ac:dyDescent="0.35">
      <c r="A80" s="108" t="s">
        <v>188</v>
      </c>
    </row>
    <row r="99" spans="1:16" collapsed="1" x14ac:dyDescent="0.35"/>
    <row r="103" spans="1:16" x14ac:dyDescent="0.35">
      <c r="A103" s="5"/>
      <c r="B103" s="7"/>
      <c r="C103" s="13"/>
      <c r="D103" s="13"/>
      <c r="E103" s="13"/>
      <c r="F103" s="13"/>
      <c r="G103" s="13"/>
      <c r="H103" s="13"/>
      <c r="I103" s="13"/>
      <c r="J103" s="13"/>
      <c r="M103" s="13"/>
      <c r="N103" s="13"/>
      <c r="O103" s="13"/>
      <c r="P103" s="13"/>
    </row>
    <row r="104" spans="1:16" x14ac:dyDescent="0.35">
      <c r="A104" s="5"/>
      <c r="B104" s="7"/>
      <c r="C104" s="3"/>
      <c r="D104" s="3"/>
      <c r="E104" s="3"/>
      <c r="F104" s="3"/>
      <c r="G104" s="3"/>
      <c r="H104" s="3"/>
      <c r="I104" s="3"/>
      <c r="J104" s="3"/>
      <c r="M104" s="3"/>
      <c r="N104" s="3"/>
      <c r="O104" s="3"/>
      <c r="P104" s="3"/>
    </row>
    <row r="105" spans="1:16" collapsed="1" x14ac:dyDescent="0.35">
      <c r="A105" s="5"/>
      <c r="B105" s="7"/>
      <c r="C105" s="3"/>
      <c r="D105" s="3"/>
      <c r="E105" s="3"/>
      <c r="F105" s="3"/>
      <c r="G105" s="3"/>
      <c r="H105" s="3"/>
      <c r="I105" s="3"/>
      <c r="J105" s="3"/>
      <c r="M105" s="3"/>
      <c r="N105" s="3"/>
      <c r="O105" s="3"/>
      <c r="P105" s="3"/>
    </row>
    <row r="106" spans="1:16" x14ac:dyDescent="0.35">
      <c r="A106" s="5"/>
      <c r="B106" s="7"/>
      <c r="C106" s="3"/>
      <c r="D106" s="3"/>
      <c r="E106" s="3"/>
      <c r="F106" s="3"/>
      <c r="G106" s="3"/>
      <c r="H106" s="3"/>
      <c r="I106" s="3"/>
      <c r="J106" s="3"/>
      <c r="M106" s="3"/>
      <c r="N106" s="3"/>
      <c r="O106" s="3"/>
      <c r="P106" s="3"/>
    </row>
    <row r="107" spans="1:16" x14ac:dyDescent="0.35">
      <c r="A107" s="5"/>
      <c r="B107" s="7"/>
      <c r="C107" s="3"/>
      <c r="D107" s="3"/>
      <c r="E107" s="3"/>
      <c r="F107" s="3"/>
      <c r="G107" s="3"/>
      <c r="H107" s="3"/>
      <c r="I107" s="3"/>
      <c r="J107" s="3"/>
      <c r="M107" s="3"/>
      <c r="N107" s="3"/>
      <c r="O107" s="3"/>
      <c r="P107" s="3"/>
    </row>
  </sheetData>
  <mergeCells count="1">
    <mergeCell ref="C1:F1"/>
  </mergeCells>
  <conditionalFormatting sqref="C11:J11">
    <cfRule type="cellIs" dxfId="3" priority="7" operator="equal">
      <formula>$C$11</formula>
    </cfRule>
    <cfRule type="colorScale" priority="9">
      <colorScale>
        <cfvo type="min"/>
        <cfvo type="percentile" val="50"/>
        <cfvo type="max"/>
        <color rgb="FFF8696B"/>
        <color rgb="FFFCFCFF"/>
        <color rgb="FF5A8AC6"/>
      </colorScale>
    </cfRule>
  </conditionalFormatting>
  <conditionalFormatting sqref="C20:J20">
    <cfRule type="cellIs" dxfId="2" priority="5" operator="equal">
      <formula>$C$11</formula>
    </cfRule>
    <cfRule type="colorScale" priority="6">
      <colorScale>
        <cfvo type="min"/>
        <cfvo type="percentile" val="50"/>
        <cfvo type="max"/>
        <color rgb="FFF8696B"/>
        <color rgb="FFFCFCFF"/>
        <color rgb="FF5A8AC6"/>
      </colorScale>
    </cfRule>
  </conditionalFormatting>
  <conditionalFormatting sqref="M11:P11">
    <cfRule type="cellIs" dxfId="1" priority="3" operator="equal">
      <formula>$C$11</formula>
    </cfRule>
    <cfRule type="colorScale" priority="4">
      <colorScale>
        <cfvo type="min"/>
        <cfvo type="percentile" val="50"/>
        <cfvo type="max"/>
        <color rgb="FFF8696B"/>
        <color rgb="FFFCFCFF"/>
        <color rgb="FF5A8AC6"/>
      </colorScale>
    </cfRule>
  </conditionalFormatting>
  <conditionalFormatting sqref="M20:P20">
    <cfRule type="cellIs" dxfId="0" priority="1" operator="equal">
      <formula>$C$11</formula>
    </cfRule>
    <cfRule type="colorScale" priority="2">
      <colorScale>
        <cfvo type="min"/>
        <cfvo type="percentile" val="50"/>
        <cfvo type="max"/>
        <color rgb="FFF8696B"/>
        <color rgb="FFFCFCFF"/>
        <color rgb="FF5A8AC6"/>
      </colorScale>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DA16E-6875-4C64-91A7-E7795A21AA3F}">
  <sheetPr codeName="Sheet2"/>
  <dimension ref="A1:AO78"/>
  <sheetViews>
    <sheetView tabSelected="1" zoomScale="115" zoomScaleNormal="115" workbookViewId="0">
      <selection activeCell="O5" sqref="O5"/>
    </sheetView>
  </sheetViews>
  <sheetFormatPr defaultRowHeight="14.5" x14ac:dyDescent="0.35"/>
  <cols>
    <col min="2" max="2" width="18" bestFit="1" customWidth="1"/>
    <col min="3" max="4" width="10.453125" customWidth="1"/>
    <col min="6" max="6" width="20.6328125" bestFit="1" customWidth="1"/>
    <col min="7" max="7" width="8.6328125" customWidth="1"/>
    <col min="8" max="8" width="10.36328125" bestFit="1" customWidth="1"/>
    <col min="9" max="9" width="12.1796875" customWidth="1"/>
    <col min="10" max="10" width="13" bestFit="1" customWidth="1"/>
    <col min="11" max="11" width="11.26953125" bestFit="1" customWidth="1"/>
    <col min="12" max="12" width="11" bestFit="1" customWidth="1"/>
    <col min="13" max="13" width="11.1796875" bestFit="1" customWidth="1"/>
    <col min="14" max="14" width="7.90625" bestFit="1" customWidth="1"/>
    <col min="15" max="15" width="11" bestFit="1" customWidth="1"/>
    <col min="16" max="16" width="12.90625" customWidth="1"/>
    <col min="17" max="17" width="9.7265625" style="38" customWidth="1"/>
    <col min="18" max="18" width="18.36328125" style="28" customWidth="1"/>
    <col min="19" max="19" width="9.54296875" style="28" bestFit="1" customWidth="1"/>
    <col min="20" max="21" width="8.81640625" customWidth="1"/>
    <col min="22" max="22" width="8" customWidth="1"/>
    <col min="23" max="23" width="12.26953125" customWidth="1"/>
    <col min="24" max="24" width="10.7265625" customWidth="1"/>
    <col min="25" max="25" width="8.81640625" customWidth="1"/>
    <col min="26" max="26" width="12.7265625" bestFit="1" customWidth="1"/>
    <col min="27" max="31" width="8.81640625" customWidth="1"/>
    <col min="32" max="32" width="11.54296875" bestFit="1" customWidth="1"/>
    <col min="33" max="37" width="11.54296875" customWidth="1"/>
    <col min="38" max="38" width="6.26953125" style="141" bestFit="1" customWidth="1"/>
    <col min="39" max="39" width="6.54296875" style="141" bestFit="1" customWidth="1"/>
    <col min="40" max="41" width="8.7265625" style="141"/>
    <col min="42" max="42" width="12.36328125" bestFit="1" customWidth="1"/>
    <col min="48" max="48" width="6.54296875" bestFit="1" customWidth="1"/>
    <col min="49" max="49" width="5.36328125" bestFit="1" customWidth="1"/>
    <col min="50" max="51" width="6.6328125" bestFit="1" customWidth="1"/>
    <col min="52" max="52" width="5.7265625" bestFit="1" customWidth="1"/>
    <col min="53" max="53" width="6.26953125" bestFit="1" customWidth="1"/>
    <col min="54" max="54" width="4.1796875" bestFit="1" customWidth="1"/>
    <col min="55" max="55" width="5.6328125" bestFit="1" customWidth="1"/>
    <col min="56" max="56" width="6.7265625" bestFit="1" customWidth="1"/>
    <col min="57" max="57" width="6.36328125" bestFit="1" customWidth="1"/>
    <col min="58" max="58" width="6" bestFit="1" customWidth="1"/>
    <col min="59" max="59" width="5.1796875" bestFit="1" customWidth="1"/>
    <col min="60" max="60" width="7.54296875" bestFit="1" customWidth="1"/>
    <col min="61" max="61" width="5.54296875" customWidth="1"/>
    <col min="62" max="62" width="9.36328125" bestFit="1" customWidth="1"/>
    <col min="63" max="63" width="3.26953125" bestFit="1" customWidth="1"/>
  </cols>
  <sheetData>
    <row r="1" spans="2:38" x14ac:dyDescent="0.35">
      <c r="F1" s="220" t="s">
        <v>286</v>
      </c>
      <c r="G1" s="220" t="s">
        <v>216</v>
      </c>
      <c r="H1" s="220" t="s">
        <v>207</v>
      </c>
      <c r="I1" s="221"/>
      <c r="Q1" s="236" t="s">
        <v>304</v>
      </c>
      <c r="R1" s="236"/>
      <c r="S1" s="236"/>
      <c r="T1" s="236"/>
      <c r="U1" s="236"/>
      <c r="AA1" s="28"/>
      <c r="AL1" s="140" t="s">
        <v>280</v>
      </c>
    </row>
    <row r="2" spans="2:38" ht="14.5" customHeight="1" x14ac:dyDescent="0.35">
      <c r="B2" s="218" t="s">
        <v>299</v>
      </c>
      <c r="C2" s="218"/>
      <c r="E2" s="96"/>
      <c r="F2" s="143" t="s">
        <v>295</v>
      </c>
      <c r="G2" s="112">
        <v>0.9</v>
      </c>
      <c r="H2" s="112">
        <v>0.91</v>
      </c>
      <c r="I2" s="28"/>
      <c r="Q2" s="275">
        <v>0</v>
      </c>
      <c r="R2" s="145" t="s">
        <v>217</v>
      </c>
      <c r="S2" s="145" t="s">
        <v>218</v>
      </c>
      <c r="T2" s="145" t="s">
        <v>219</v>
      </c>
      <c r="U2" s="145" t="s">
        <v>220</v>
      </c>
      <c r="W2" s="278" t="s">
        <v>311</v>
      </c>
      <c r="X2" s="278"/>
      <c r="Y2" s="278"/>
      <c r="Z2" s="278"/>
      <c r="AL2" s="140" t="s">
        <v>281</v>
      </c>
    </row>
    <row r="3" spans="2:38" ht="14.5" customHeight="1" x14ac:dyDescent="0.35">
      <c r="B3" s="120" t="s">
        <v>206</v>
      </c>
      <c r="C3" s="157">
        <v>0.75</v>
      </c>
      <c r="D3" s="159"/>
      <c r="E3" s="96"/>
      <c r="F3" s="143" t="s">
        <v>296</v>
      </c>
      <c r="G3" s="112">
        <f>C4</f>
        <v>0.05</v>
      </c>
      <c r="H3" s="139">
        <f>G3*0.75</f>
        <v>3.7500000000000006E-2</v>
      </c>
      <c r="I3" s="28"/>
      <c r="Q3" s="275" t="s">
        <v>223</v>
      </c>
      <c r="R3" s="269" t="s">
        <v>292</v>
      </c>
      <c r="S3" s="270"/>
      <c r="T3" s="270"/>
      <c r="U3" s="271"/>
      <c r="W3" s="278"/>
      <c r="X3" s="278"/>
      <c r="Y3" s="278"/>
      <c r="Z3" s="278"/>
      <c r="AA3" s="153"/>
      <c r="AB3" s="153"/>
      <c r="AC3" s="153"/>
      <c r="AD3" s="153"/>
    </row>
    <row r="4" spans="2:38" x14ac:dyDescent="0.35">
      <c r="B4" s="118" t="s">
        <v>205</v>
      </c>
      <c r="C4" s="157">
        <v>0.05</v>
      </c>
      <c r="D4" s="159"/>
      <c r="E4" s="113"/>
      <c r="Q4" s="275" t="s">
        <v>224</v>
      </c>
      <c r="R4" s="272"/>
      <c r="S4" s="273"/>
      <c r="T4" s="273"/>
      <c r="U4" s="274"/>
      <c r="W4" s="279"/>
      <c r="X4" s="279"/>
      <c r="Y4" s="279"/>
      <c r="Z4" s="279"/>
      <c r="AA4" s="153"/>
      <c r="AB4" s="153"/>
      <c r="AC4" s="153"/>
      <c r="AD4" s="153"/>
    </row>
    <row r="5" spans="2:38" x14ac:dyDescent="0.35">
      <c r="B5" s="120" t="s">
        <v>209</v>
      </c>
      <c r="C5" s="159">
        <v>8</v>
      </c>
      <c r="D5" s="159" t="s">
        <v>54</v>
      </c>
      <c r="E5" s="113"/>
      <c r="F5" s="219" t="s">
        <v>287</v>
      </c>
      <c r="G5" s="219"/>
      <c r="H5" s="219"/>
      <c r="I5" s="219"/>
      <c r="Q5" s="275" t="s">
        <v>225</v>
      </c>
      <c r="R5" s="146" cm="1">
        <f t="array" aca="1" ref="R5:U11" ca="1">TRANSPOSE(B40:H43)</f>
        <v>117.20517843732432</v>
      </c>
      <c r="S5" s="146">
        <f ca="1"/>
        <v>157.54443588276547</v>
      </c>
      <c r="T5" s="146">
        <f ca="1"/>
        <v>117.20517843732432</v>
      </c>
      <c r="U5" s="146">
        <f ca="1"/>
        <v>137.3748071600449</v>
      </c>
      <c r="W5" s="268">
        <f ca="1">R5/R19-1</f>
        <v>0</v>
      </c>
      <c r="X5" s="268">
        <f t="shared" ref="X5:Z5" ca="1" si="0">S5/S19-1</f>
        <v>0</v>
      </c>
      <c r="Y5" s="268">
        <f t="shared" ca="1" si="0"/>
        <v>0</v>
      </c>
      <c r="Z5" s="268">
        <f t="shared" ca="1" si="0"/>
        <v>0</v>
      </c>
      <c r="AA5" s="153"/>
      <c r="AB5" s="153"/>
      <c r="AC5" s="153"/>
      <c r="AD5" s="153"/>
    </row>
    <row r="6" spans="2:38" x14ac:dyDescent="0.35">
      <c r="B6" s="118" t="s">
        <v>210</v>
      </c>
      <c r="C6" s="158">
        <v>9.81</v>
      </c>
      <c r="D6" s="159"/>
      <c r="F6" s="222" t="s">
        <v>200</v>
      </c>
      <c r="G6" s="123" t="s">
        <v>3</v>
      </c>
      <c r="H6" s="123" t="s">
        <v>198</v>
      </c>
      <c r="I6" s="123" t="s">
        <v>199</v>
      </c>
      <c r="Q6" s="275" t="s">
        <v>221</v>
      </c>
      <c r="R6" s="146">
        <f ca="1"/>
        <v>170.13888888888886</v>
      </c>
      <c r="S6" s="146">
        <f ca="1"/>
        <v>122.6149248478726</v>
      </c>
      <c r="T6" s="146">
        <f ca="1"/>
        <v>170.13888888888886</v>
      </c>
      <c r="U6" s="146">
        <f ca="1"/>
        <v>142.13219652315959</v>
      </c>
      <c r="W6" s="268">
        <f t="shared" ref="W6:W13" ca="1" si="1">R6/R20-1</f>
        <v>0</v>
      </c>
      <c r="X6" s="268">
        <f t="shared" ref="X6:X13" ca="1" si="2">S6/S20-1</f>
        <v>-1.292983446438023E-3</v>
      </c>
      <c r="Y6" s="268">
        <f t="shared" ref="Y6:Y13" ca="1" si="3">T6/T20-1</f>
        <v>0</v>
      </c>
      <c r="Z6" s="268">
        <f t="shared" ref="Z6:Z13" ca="1" si="4">U6/U20-1</f>
        <v>-1.3206937462419965E-3</v>
      </c>
      <c r="AA6" s="153"/>
      <c r="AB6" s="153"/>
      <c r="AC6" s="153"/>
      <c r="AD6" s="153"/>
    </row>
    <row r="7" spans="2:38" x14ac:dyDescent="0.35">
      <c r="B7" s="118" t="s">
        <v>241</v>
      </c>
      <c r="C7" s="158">
        <v>1.6284000000000001</v>
      </c>
      <c r="D7" s="159"/>
      <c r="F7" s="222" t="s">
        <v>293</v>
      </c>
      <c r="G7" s="123" t="s">
        <v>202</v>
      </c>
      <c r="H7" s="223">
        <v>300</v>
      </c>
      <c r="I7" s="223">
        <v>154</v>
      </c>
      <c r="K7" t="s">
        <v>312</v>
      </c>
      <c r="Q7" s="276" t="s">
        <v>222</v>
      </c>
      <c r="R7" s="146">
        <f ca="1"/>
        <v>127.59186746987947</v>
      </c>
      <c r="S7" s="146">
        <f ca="1"/>
        <v>97.297906834888408</v>
      </c>
      <c r="T7" s="146">
        <f ca="1"/>
        <v>128.69487770158463</v>
      </c>
      <c r="U7" s="146">
        <f ca="1"/>
        <v>110.92919266153766</v>
      </c>
      <c r="W7" s="268">
        <f t="shared" ca="1" si="1"/>
        <v>-9.6385542168953009E-5</v>
      </c>
      <c r="X7" s="268">
        <f t="shared" ca="1" si="2"/>
        <v>8.3211186533025394E-3</v>
      </c>
      <c r="Y7" s="268">
        <f t="shared" ca="1" si="3"/>
        <v>2.0797179158235313E-2</v>
      </c>
      <c r="Z7" s="268">
        <f t="shared" ca="1" si="4"/>
        <v>1.2687859405618784E-2</v>
      </c>
      <c r="AA7" s="153"/>
      <c r="AB7" s="153"/>
      <c r="AC7" s="153"/>
      <c r="AD7" s="153"/>
    </row>
    <row r="8" spans="2:38" x14ac:dyDescent="0.35">
      <c r="F8" s="222" t="s">
        <v>294</v>
      </c>
      <c r="G8" s="123" t="s">
        <v>202</v>
      </c>
      <c r="H8" s="223">
        <v>271.20517843732432</v>
      </c>
      <c r="I8" s="223">
        <v>142.45556411723453</v>
      </c>
      <c r="Q8" s="276" t="s">
        <v>226</v>
      </c>
      <c r="R8" s="146">
        <f ca="1"/>
        <v>5.8602589218662162</v>
      </c>
      <c r="S8" s="146">
        <f ca="1"/>
        <v>3.0436610930194727</v>
      </c>
      <c r="T8" s="146">
        <f ca="1"/>
        <v>5.8602589218662162</v>
      </c>
      <c r="U8" s="146">
        <f ca="1"/>
        <v>4.0897292312311517</v>
      </c>
      <c r="W8" s="268">
        <f t="shared" ca="1" si="1"/>
        <v>0</v>
      </c>
      <c r="X8" s="268">
        <f t="shared" ca="1" si="2"/>
        <v>-2.5842950866830083E-3</v>
      </c>
      <c r="Y8" s="268">
        <f t="shared" ca="1" si="3"/>
        <v>0</v>
      </c>
      <c r="Z8" s="268">
        <f t="shared" ca="1" si="4"/>
        <v>-2.6396432605123588E-3</v>
      </c>
      <c r="AA8" s="153"/>
      <c r="AB8" s="153"/>
      <c r="AC8" s="153"/>
      <c r="AD8" s="153"/>
    </row>
    <row r="9" spans="2:38" x14ac:dyDescent="0.35">
      <c r="F9" s="222" t="s">
        <v>122</v>
      </c>
      <c r="G9" s="123" t="s">
        <v>208</v>
      </c>
      <c r="H9" s="224">
        <v>1000000</v>
      </c>
      <c r="I9" s="224">
        <v>0</v>
      </c>
      <c r="Q9" s="276" t="s">
        <v>227</v>
      </c>
      <c r="R9" s="146">
        <f ca="1"/>
        <v>3.295760224411219</v>
      </c>
      <c r="S9" s="146">
        <f ca="1"/>
        <v>1.9165343831310864</v>
      </c>
      <c r="T9" s="146">
        <f ca="1"/>
        <v>3.3529891123471045</v>
      </c>
      <c r="U9" s="146">
        <f ca="1"/>
        <v>2.4911582947968363</v>
      </c>
      <c r="W9" s="268">
        <f t="shared" ca="1" si="1"/>
        <v>-1.9276179416471972E-4</v>
      </c>
      <c r="X9" s="268">
        <f t="shared" ca="1" si="2"/>
        <v>1.6711478322247952E-2</v>
      </c>
      <c r="Y9" s="268">
        <f t="shared" ca="1" si="3"/>
        <v>4.2026880977410697E-2</v>
      </c>
      <c r="Z9" s="268">
        <f t="shared" ca="1" si="4"/>
        <v>2.5536700587534655E-2</v>
      </c>
      <c r="AA9" s="153"/>
      <c r="AB9" s="153"/>
      <c r="AC9" s="153"/>
      <c r="AD9" s="153"/>
    </row>
    <row r="10" spans="2:38" x14ac:dyDescent="0.35">
      <c r="F10" s="222" t="s">
        <v>201</v>
      </c>
      <c r="G10" s="123" t="s">
        <v>203</v>
      </c>
      <c r="H10" s="126" cm="1">
        <f t="array" ref="H10">JKJInterpolate(H7,URy,URVOL,-1)</f>
        <v>7086569.7977259997</v>
      </c>
      <c r="I10" s="126" cm="1">
        <f t="array" ref="I10">JKJInterpolate(I7,LRy,LRvol,-1)</f>
        <v>9400000</v>
      </c>
      <c r="Q10" s="276" t="s">
        <v>228</v>
      </c>
      <c r="R10" s="146">
        <f ca="1"/>
        <v>111.3449195154581</v>
      </c>
      <c r="S10" s="146">
        <f ca="1"/>
        <v>154.500774789746</v>
      </c>
      <c r="T10" s="146">
        <f ca="1"/>
        <v>111.3449195154581</v>
      </c>
      <c r="U10" s="146">
        <f ca="1"/>
        <v>133.28507792881373</v>
      </c>
      <c r="W10" s="268">
        <f t="shared" ca="1" si="1"/>
        <v>0</v>
      </c>
      <c r="X10" s="268">
        <f t="shared" ca="1" si="2"/>
        <v>5.1045057674947714E-5</v>
      </c>
      <c r="Y10" s="268">
        <f t="shared" ca="1" si="3"/>
        <v>0</v>
      </c>
      <c r="Z10" s="268">
        <f t="shared" ca="1" si="4"/>
        <v>8.1215969145009836E-5</v>
      </c>
      <c r="AA10" s="153"/>
      <c r="AB10" s="153"/>
      <c r="AC10" s="153"/>
      <c r="AD10" s="153"/>
    </row>
    <row r="11" spans="2:38" x14ac:dyDescent="0.35">
      <c r="F11" s="222" t="s">
        <v>10</v>
      </c>
      <c r="G11" s="123" t="s">
        <v>203</v>
      </c>
      <c r="H11" s="126" cm="1">
        <f t="array" ref="H11">JKJInterpolate(H8,URy,URVOL,-1)</f>
        <v>2186569.7977260021</v>
      </c>
      <c r="I11" s="126" cm="1">
        <f t="array" ref="I11">JKJInterpolate(I8,LRy,LRvol,-1)</f>
        <v>4500000.0000000009</v>
      </c>
      <c r="J11" s="126" t="s">
        <v>288</v>
      </c>
      <c r="Q11" s="275" t="s">
        <v>229</v>
      </c>
      <c r="R11" s="146">
        <f ca="1"/>
        <v>120.50093866173555</v>
      </c>
      <c r="S11" s="146">
        <f ca="1"/>
        <v>159.46097026589655</v>
      </c>
      <c r="T11" s="146">
        <f ca="1"/>
        <v>120.55816754967142</v>
      </c>
      <c r="U11" s="146">
        <f ca="1"/>
        <v>139.86596545484173</v>
      </c>
      <c r="W11" s="268">
        <f t="shared" ca="1" si="1"/>
        <v>-5.2731189892352148E-6</v>
      </c>
      <c r="X11" s="268">
        <f t="shared" ca="1" si="2"/>
        <v>1.975900903594674E-4</v>
      </c>
      <c r="Y11" s="268">
        <f t="shared" ca="1" si="3"/>
        <v>1.1229778029469006E-3</v>
      </c>
      <c r="Z11" s="268">
        <f t="shared" ca="1" si="4"/>
        <v>4.437062141668946E-4</v>
      </c>
      <c r="AA11" s="153"/>
      <c r="AB11" s="153"/>
      <c r="AC11" s="153"/>
      <c r="AD11" s="153"/>
    </row>
    <row r="12" spans="2:38" x14ac:dyDescent="0.35">
      <c r="E12" s="217"/>
      <c r="F12" s="222" t="s">
        <v>11</v>
      </c>
      <c r="G12" s="123" t="s">
        <v>203</v>
      </c>
      <c r="H12" s="126">
        <f>H10-H11</f>
        <v>4899999.9999999981</v>
      </c>
      <c r="I12" s="126">
        <f>I10-I11</f>
        <v>4899999.9999999991</v>
      </c>
      <c r="J12" s="117">
        <f>IF($B$36=2, H12,IF($C$36=2,I12,MIN(H12:I12)))</f>
        <v>4899999.9999999981</v>
      </c>
      <c r="R12" s="277">
        <f ca="1">R6*R10*9.81*e_T/1000</f>
        <v>167.25746675589235</v>
      </c>
      <c r="S12" s="277">
        <f ca="1">S6*S10*9.81*e_T/1000</f>
        <v>167.25746675589232</v>
      </c>
      <c r="T12" s="277">
        <f ca="1">T6*T10*9.81*e_T/1000</f>
        <v>167.25746675589235</v>
      </c>
      <c r="U12" s="277">
        <f ca="1">U6*U10*9.81*e_T/1000</f>
        <v>167.25746675589232</v>
      </c>
      <c r="W12" s="268">
        <f t="shared" ca="1" si="1"/>
        <v>0</v>
      </c>
      <c r="X12" s="268">
        <f t="shared" ca="1" si="2"/>
        <v>-1.2420043891776533E-3</v>
      </c>
      <c r="Y12" s="268">
        <f t="shared" ca="1" si="3"/>
        <v>0</v>
      </c>
      <c r="Z12" s="268">
        <f t="shared" ca="1" si="4"/>
        <v>-1.2395850385192864E-3</v>
      </c>
      <c r="AA12" s="153"/>
      <c r="AB12" s="153"/>
      <c r="AC12" s="153"/>
      <c r="AD12" s="153"/>
    </row>
    <row r="13" spans="2:38" x14ac:dyDescent="0.35">
      <c r="E13" s="217"/>
      <c r="F13" s="222" t="s">
        <v>230</v>
      </c>
      <c r="G13" s="123" t="s">
        <v>203</v>
      </c>
      <c r="H13" s="126">
        <f>H12+H9</f>
        <v>5899999.9999999981</v>
      </c>
      <c r="I13" s="126">
        <f>I12+I9</f>
        <v>4899999.9999999991</v>
      </c>
      <c r="J13" s="117">
        <f>IF($B$36=2, IF(OR(i_solve_power=1, i_fixed_speed = 1),I13,H13),IF($C$36=2,IF(OR(i_solve_power=1, i_fixed_speed = 1), I13, H13),MIN(H13:I13)))</f>
        <v>4899999.9999999991</v>
      </c>
      <c r="R13" s="277">
        <f ca="1">R7*R11*9.81/e_P/1000</f>
        <v>165.7452301055547</v>
      </c>
      <c r="S13" s="277">
        <f ca="1">S7*S11*9.81/e_P/1000</f>
        <v>167.25746675589232</v>
      </c>
      <c r="T13" s="277">
        <f ca="1">T7*T11*9.81/e_P/1000</f>
        <v>167.25746675589232</v>
      </c>
      <c r="U13" s="277">
        <f ca="1">U7*U11*9.81/e_P/1000</f>
        <v>167.25746675589227</v>
      </c>
      <c r="W13" s="268">
        <f t="shared" ca="1" si="1"/>
        <v>-1.0165815290574809E-4</v>
      </c>
      <c r="X13" s="268">
        <f t="shared" ca="1" si="2"/>
        <v>8.5203529142485745E-3</v>
      </c>
      <c r="Y13" s="268">
        <f t="shared" ca="1" si="3"/>
        <v>2.1943511731740806E-2</v>
      </c>
      <c r="Z13" s="268">
        <f t="shared" ca="1" si="4"/>
        <v>1.3137195301847981E-2</v>
      </c>
      <c r="AA13" s="28"/>
    </row>
    <row r="14" spans="2:38" ht="14.5" customHeight="1" x14ac:dyDescent="0.35">
      <c r="O14" s="106"/>
      <c r="R14"/>
      <c r="S14"/>
    </row>
    <row r="15" spans="2:38" ht="14.5" customHeight="1" x14ac:dyDescent="0.35">
      <c r="B15" s="218" t="s">
        <v>309</v>
      </c>
      <c r="C15" s="218"/>
      <c r="I15" s="107"/>
      <c r="Q15" s="236" t="s">
        <v>305</v>
      </c>
      <c r="R15" s="236"/>
      <c r="S15" s="236"/>
      <c r="T15" s="236"/>
      <c r="U15" s="236"/>
    </row>
    <row r="16" spans="2:38" x14ac:dyDescent="0.35">
      <c r="B16" s="133" t="s">
        <v>204</v>
      </c>
      <c r="C16" s="192" t="s">
        <v>281</v>
      </c>
      <c r="F16" s="260" t="s">
        <v>306</v>
      </c>
      <c r="G16" s="260"/>
      <c r="H16" s="260"/>
      <c r="K16" s="260" t="s">
        <v>306</v>
      </c>
      <c r="L16" s="260"/>
      <c r="M16" s="260"/>
      <c r="Q16" s="275">
        <v>0</v>
      </c>
      <c r="R16" s="145" t="s">
        <v>217</v>
      </c>
      <c r="S16" s="145" t="s">
        <v>218</v>
      </c>
      <c r="T16" s="145" t="s">
        <v>219</v>
      </c>
      <c r="U16" s="145" t="s">
        <v>220</v>
      </c>
    </row>
    <row r="17" spans="1:41" ht="14.5" customHeight="1" x14ac:dyDescent="0.35">
      <c r="B17" s="193" t="s">
        <v>234</v>
      </c>
      <c r="C17" s="194">
        <v>1</v>
      </c>
      <c r="F17" s="226" t="s">
        <v>303</v>
      </c>
      <c r="G17" s="265" t="s">
        <v>302</v>
      </c>
      <c r="H17" s="266"/>
      <c r="K17" s="186"/>
      <c r="L17" s="186" t="s">
        <v>301</v>
      </c>
      <c r="M17" s="226" t="s">
        <v>302</v>
      </c>
      <c r="Q17" s="275"/>
      <c r="R17" s="191"/>
      <c r="S17" s="191"/>
      <c r="T17" s="191"/>
      <c r="U17" s="191"/>
    </row>
    <row r="18" spans="1:41" x14ac:dyDescent="0.35">
      <c r="B18" s="193" t="s">
        <v>235</v>
      </c>
      <c r="C18" s="194">
        <v>1</v>
      </c>
      <c r="F18" s="155"/>
      <c r="G18" s="123" t="s">
        <v>198</v>
      </c>
      <c r="H18" s="123" t="s">
        <v>199</v>
      </c>
      <c r="I18" s="267" t="s">
        <v>308</v>
      </c>
      <c r="K18" s="230" t="s">
        <v>0</v>
      </c>
      <c r="L18" s="280">
        <f>C38</f>
        <v>167.25746675589232</v>
      </c>
      <c r="M18" s="281">
        <v>167.25746675589238</v>
      </c>
      <c r="Q18" s="275"/>
      <c r="R18" s="191"/>
      <c r="S18" s="191"/>
      <c r="T18" s="191"/>
      <c r="U18" s="191"/>
      <c r="AL18"/>
      <c r="AM18"/>
      <c r="AN18"/>
      <c r="AO18"/>
    </row>
    <row r="19" spans="1:41" ht="14.5" customHeight="1" x14ac:dyDescent="0.35">
      <c r="B19" s="193" t="s">
        <v>236</v>
      </c>
      <c r="C19" s="194">
        <v>0</v>
      </c>
      <c r="F19" s="222" t="s">
        <v>72</v>
      </c>
      <c r="G19" s="195">
        <v>300</v>
      </c>
      <c r="H19" s="195">
        <v>154</v>
      </c>
      <c r="I19" s="267"/>
      <c r="K19" s="230" t="s">
        <v>11</v>
      </c>
      <c r="L19" s="187">
        <f>C37</f>
        <v>4899999.9999999991</v>
      </c>
      <c r="M19" s="228">
        <v>4900000</v>
      </c>
      <c r="Q19" s="275" t="s">
        <v>225</v>
      </c>
      <c r="R19" s="191">
        <v>117.20517843732432</v>
      </c>
      <c r="S19" s="191">
        <v>157.54443588276547</v>
      </c>
      <c r="T19" s="191">
        <v>117.20517843732432</v>
      </c>
      <c r="U19" s="191">
        <v>137.3748071600449</v>
      </c>
      <c r="AL19"/>
      <c r="AM19"/>
      <c r="AN19"/>
      <c r="AO19"/>
    </row>
    <row r="20" spans="1:41" x14ac:dyDescent="0.35">
      <c r="B20" s="218" t="s">
        <v>310</v>
      </c>
      <c r="C20" s="218"/>
      <c r="F20" s="222" t="s">
        <v>76</v>
      </c>
      <c r="G20" s="195">
        <v>271.20517843732432</v>
      </c>
      <c r="H20" s="195">
        <v>142.45556411723453</v>
      </c>
      <c r="I20" s="267"/>
      <c r="K20" s="231" t="s">
        <v>232</v>
      </c>
      <c r="L20" s="189">
        <f>B41/B42</f>
        <v>1.3441764091252388</v>
      </c>
      <c r="M20" s="227">
        <v>1.3441764091252388</v>
      </c>
      <c r="Q20" s="275" t="s">
        <v>221</v>
      </c>
      <c r="R20" s="191">
        <v>170.13888888888889</v>
      </c>
      <c r="S20" s="191">
        <v>122.77366916976757</v>
      </c>
      <c r="T20" s="191">
        <v>170.13888888888891</v>
      </c>
      <c r="U20" s="191">
        <v>142.32015786561689</v>
      </c>
      <c r="AL20"/>
      <c r="AM20"/>
      <c r="AN20"/>
      <c r="AO20"/>
    </row>
    <row r="21" spans="1:41" ht="14.5" customHeight="1" x14ac:dyDescent="0.35">
      <c r="B21" s="155" t="s">
        <v>237</v>
      </c>
      <c r="C21" s="194">
        <v>1</v>
      </c>
      <c r="F21" s="222" t="s">
        <v>122</v>
      </c>
      <c r="G21" s="196">
        <v>1000000</v>
      </c>
      <c r="H21" s="196">
        <v>0</v>
      </c>
      <c r="K21" s="230" t="s">
        <v>172</v>
      </c>
      <c r="L21" s="189">
        <f ca="1">L24*0.9</f>
        <v>1.3372510229240129</v>
      </c>
      <c r="M21" s="227">
        <v>1.3372570238730876</v>
      </c>
      <c r="Q21" s="276" t="s">
        <v>222</v>
      </c>
      <c r="R21" s="191">
        <v>127.60416666666666</v>
      </c>
      <c r="S21" s="191">
        <v>96.494960816488629</v>
      </c>
      <c r="T21" s="191">
        <v>126.07291666666669</v>
      </c>
      <c r="U21" s="191">
        <v>109.53937250382937</v>
      </c>
      <c r="AL21"/>
      <c r="AM21"/>
      <c r="AN21"/>
      <c r="AO21"/>
    </row>
    <row r="22" spans="1:41" ht="14.5" customHeight="1" x14ac:dyDescent="0.35">
      <c r="B22" s="155" t="s">
        <v>238</v>
      </c>
      <c r="C22" s="122">
        <v>0</v>
      </c>
      <c r="F22" s="222" t="s">
        <v>201</v>
      </c>
      <c r="G22" s="196">
        <v>7086569.7977259997</v>
      </c>
      <c r="H22" s="196">
        <v>9400000</v>
      </c>
      <c r="K22" s="231" t="s">
        <v>173</v>
      </c>
      <c r="L22" s="186" t="str">
        <f ca="1">IF(L20&lt;L21,"ok","fail")</f>
        <v>fail</v>
      </c>
      <c r="M22" s="226">
        <v>0</v>
      </c>
      <c r="Q22" s="276" t="s">
        <v>226</v>
      </c>
      <c r="R22" s="191">
        <v>5.8602589218662162</v>
      </c>
      <c r="S22" s="191">
        <v>3.0515471914330745</v>
      </c>
      <c r="T22" s="191">
        <v>5.860258921866218</v>
      </c>
      <c r="U22" s="191">
        <v>4.100553228926259</v>
      </c>
      <c r="AL22"/>
      <c r="AM22"/>
      <c r="AN22"/>
      <c r="AO22"/>
    </row>
    <row r="23" spans="1:41" ht="14.5" customHeight="1" x14ac:dyDescent="0.35">
      <c r="B23" s="155" t="s">
        <v>239</v>
      </c>
      <c r="C23" s="194">
        <v>1</v>
      </c>
      <c r="F23" s="222" t="s">
        <v>10</v>
      </c>
      <c r="G23" s="196">
        <v>2186569.7977259997</v>
      </c>
      <c r="H23" s="196">
        <v>4500000</v>
      </c>
      <c r="K23" s="230" t="s">
        <v>213</v>
      </c>
      <c r="L23" s="188">
        <f ca="1">H44</f>
        <v>1.4321351253368904</v>
      </c>
      <c r="M23" s="229">
        <v>1.4318522055302181</v>
      </c>
      <c r="Q23" s="276" t="s">
        <v>227</v>
      </c>
      <c r="R23" s="191">
        <v>3.2963956435497463</v>
      </c>
      <c r="S23" s="191">
        <v>1.8850327000278426</v>
      </c>
      <c r="T23" s="191">
        <v>3.2177568290772252</v>
      </c>
      <c r="U23" s="191">
        <v>2.4291264207020973</v>
      </c>
      <c r="AL23"/>
      <c r="AM23"/>
      <c r="AN23"/>
      <c r="AO23"/>
    </row>
    <row r="24" spans="1:41" ht="14.5" customHeight="1" x14ac:dyDescent="0.35">
      <c r="B24" s="155" t="s">
        <v>240</v>
      </c>
      <c r="C24" s="122">
        <v>0</v>
      </c>
      <c r="F24" s="222" t="s">
        <v>11</v>
      </c>
      <c r="G24" s="196">
        <v>4900000</v>
      </c>
      <c r="H24" s="196">
        <v>4900000</v>
      </c>
      <c r="K24" s="230" t="s">
        <v>231</v>
      </c>
      <c r="L24" s="188">
        <f ca="1">H45</f>
        <v>1.4858344699155699</v>
      </c>
      <c r="M24" s="229">
        <v>1.485841137636764</v>
      </c>
      <c r="Q24" s="276" t="s">
        <v>228</v>
      </c>
      <c r="R24" s="191">
        <v>111.3449195154581</v>
      </c>
      <c r="S24" s="191">
        <v>154.49288869133238</v>
      </c>
      <c r="T24" s="191">
        <v>111.3449195154581</v>
      </c>
      <c r="U24" s="191">
        <v>133.27425393111864</v>
      </c>
      <c r="AA24" s="142"/>
      <c r="AB24" s="142"/>
      <c r="AC24" s="142"/>
      <c r="AD24" s="142"/>
      <c r="AL24"/>
      <c r="AM24"/>
      <c r="AN24"/>
      <c r="AO24"/>
    </row>
    <row r="25" spans="1:41" x14ac:dyDescent="0.35">
      <c r="B25" s="155" t="s">
        <v>270</v>
      </c>
      <c r="C25" s="194">
        <v>300</v>
      </c>
      <c r="D25" t="s">
        <v>17</v>
      </c>
      <c r="F25" s="222" t="s">
        <v>230</v>
      </c>
      <c r="G25" s="196">
        <v>5900000</v>
      </c>
      <c r="H25" s="196">
        <v>4900000</v>
      </c>
      <c r="K25" s="231" t="s">
        <v>233</v>
      </c>
      <c r="L25" s="186" t="str">
        <f ca="1">IF(L23&lt;L24,"ok","fail")</f>
        <v>ok</v>
      </c>
      <c r="M25" s="226">
        <v>0</v>
      </c>
      <c r="Q25" s="275" t="s">
        <v>229</v>
      </c>
      <c r="R25" s="191">
        <v>120.50157408087406</v>
      </c>
      <c r="S25" s="191">
        <v>159.42946858279331</v>
      </c>
      <c r="T25" s="191">
        <v>120.42293526640155</v>
      </c>
      <c r="U25" s="191">
        <v>139.80393358074699</v>
      </c>
      <c r="AA25" s="142"/>
      <c r="AB25" s="142"/>
      <c r="AC25" s="142"/>
      <c r="AD25" s="142"/>
      <c r="AL25"/>
      <c r="AM25"/>
      <c r="AN25"/>
      <c r="AO25"/>
    </row>
    <row r="26" spans="1:41" x14ac:dyDescent="0.35">
      <c r="R26" s="277">
        <f>R20*R24*9.81*e_T/1000</f>
        <v>167.25746675589238</v>
      </c>
      <c r="S26" s="277">
        <f>S20*S24*9.81*e_T/1000</f>
        <v>167.46545959174091</v>
      </c>
      <c r="T26" s="277">
        <f>T20*T24*9.81*e_T/1000</f>
        <v>167.25746675589238</v>
      </c>
      <c r="U26" s="277">
        <f>U20*U24*9.81*e_T/1000</f>
        <v>167.4650539312203</v>
      </c>
      <c r="AL26"/>
      <c r="AM26"/>
      <c r="AN26"/>
      <c r="AO26"/>
    </row>
    <row r="27" spans="1:41" ht="14.5" customHeight="1" x14ac:dyDescent="0.35">
      <c r="R27" s="277">
        <f>R21*R25*9.81/e_P/1000</f>
        <v>165.76208117254851</v>
      </c>
      <c r="S27" s="277">
        <f>S21*S25*9.81/e_P/1000</f>
        <v>165.84441382127835</v>
      </c>
      <c r="T27" s="277">
        <f>T21*T25*9.81/e_P/1000</f>
        <v>163.66605867722095</v>
      </c>
      <c r="U27" s="277">
        <f>U21*U25*9.81/e_P/1000</f>
        <v>165.08866472527501</v>
      </c>
      <c r="AL27"/>
      <c r="AM27"/>
      <c r="AN27"/>
      <c r="AO27"/>
    </row>
    <row r="28" spans="1:41" ht="14.5" customHeight="1" x14ac:dyDescent="0.35">
      <c r="R28"/>
      <c r="S28"/>
      <c r="AL28"/>
      <c r="AM28"/>
      <c r="AN28"/>
      <c r="AO28"/>
    </row>
    <row r="29" spans="1:41" x14ac:dyDescent="0.35">
      <c r="R29"/>
      <c r="S29"/>
      <c r="AL29"/>
      <c r="AM29"/>
      <c r="AN29"/>
      <c r="AO29"/>
    </row>
    <row r="30" spans="1:41" x14ac:dyDescent="0.35">
      <c r="AE30" s="41"/>
      <c r="AL30"/>
      <c r="AM30"/>
      <c r="AN30"/>
      <c r="AO30"/>
    </row>
    <row r="31" spans="1:41" x14ac:dyDescent="0.35">
      <c r="AE31" s="41"/>
      <c r="AL31"/>
      <c r="AM31"/>
      <c r="AN31"/>
      <c r="AO31"/>
    </row>
    <row r="32" spans="1:41" x14ac:dyDescent="0.35">
      <c r="A32" s="237"/>
      <c r="B32" s="238"/>
      <c r="C32" s="238"/>
      <c r="D32" s="238"/>
      <c r="E32" s="238"/>
      <c r="F32" s="238"/>
      <c r="G32" s="238"/>
      <c r="H32" s="238"/>
      <c r="I32" s="238"/>
      <c r="J32" s="238"/>
      <c r="K32" s="238"/>
      <c r="L32" s="238"/>
      <c r="M32" s="238"/>
      <c r="N32" s="238"/>
      <c r="O32" s="239"/>
      <c r="AA32" s="41"/>
      <c r="AB32" s="41"/>
      <c r="AC32" s="41"/>
      <c r="AD32" s="41"/>
      <c r="AE32" s="41"/>
      <c r="AL32"/>
      <c r="AM32"/>
      <c r="AN32"/>
      <c r="AO32"/>
    </row>
    <row r="33" spans="1:41" x14ac:dyDescent="0.35">
      <c r="A33" s="240"/>
      <c r="B33" s="241"/>
      <c r="C33" s="241"/>
      <c r="D33" s="241"/>
      <c r="E33" s="242"/>
      <c r="F33" s="241"/>
      <c r="G33" s="241"/>
      <c r="H33" s="241"/>
      <c r="I33" s="241"/>
      <c r="J33" s="241"/>
      <c r="K33" s="241"/>
      <c r="L33" s="241"/>
      <c r="M33" s="241"/>
      <c r="N33" s="241"/>
      <c r="O33" s="243"/>
      <c r="AA33" s="41"/>
      <c r="AB33" s="41"/>
      <c r="AC33" s="41"/>
      <c r="AD33" s="41"/>
      <c r="AE33" s="138"/>
      <c r="AL33"/>
      <c r="AM33"/>
      <c r="AN33"/>
      <c r="AO33"/>
    </row>
    <row r="34" spans="1:41" x14ac:dyDescent="0.35">
      <c r="A34" s="240"/>
      <c r="B34" s="244" t="s">
        <v>297</v>
      </c>
      <c r="C34" s="244"/>
      <c r="D34" s="244"/>
      <c r="E34" s="244"/>
      <c r="F34" s="244"/>
      <c r="G34" s="241"/>
      <c r="H34" s="241"/>
      <c r="I34" s="241"/>
      <c r="J34" s="241"/>
      <c r="K34" s="241"/>
      <c r="L34" s="241"/>
      <c r="M34" s="241"/>
      <c r="N34" s="241"/>
      <c r="O34" s="243"/>
      <c r="AA34" s="41"/>
      <c r="AB34" s="41"/>
      <c r="AC34" s="41"/>
      <c r="AD34" s="41"/>
      <c r="AL34"/>
      <c r="AM34"/>
      <c r="AN34"/>
      <c r="AO34"/>
    </row>
    <row r="35" spans="1:41" ht="14.5" customHeight="1" x14ac:dyDescent="0.35">
      <c r="A35" s="240"/>
      <c r="B35" s="244"/>
      <c r="C35" s="244"/>
      <c r="D35" s="244"/>
      <c r="E35" s="244"/>
      <c r="F35" s="244"/>
      <c r="G35" s="241"/>
      <c r="H35" s="234" t="s">
        <v>300</v>
      </c>
      <c r="I35" s="234"/>
      <c r="J35" s="234"/>
      <c r="K35" s="234"/>
      <c r="L35" s="234"/>
      <c r="M35" s="241"/>
      <c r="N35" s="241"/>
      <c r="O35" s="243"/>
      <c r="S35"/>
      <c r="AA35" s="138"/>
      <c r="AB35" s="138"/>
      <c r="AC35" s="138"/>
      <c r="AD35" s="138"/>
      <c r="AL35"/>
      <c r="AM35"/>
      <c r="AN35"/>
      <c r="AO35"/>
    </row>
    <row r="36" spans="1:41" ht="14.5" customHeight="1" x14ac:dyDescent="0.35">
      <c r="A36" s="240"/>
      <c r="B36" s="245">
        <f>SUM($C$21:$C$22)</f>
        <v>1</v>
      </c>
      <c r="C36" s="245">
        <f>SUM($C$23:$C$24)</f>
        <v>1</v>
      </c>
      <c r="D36" s="241"/>
      <c r="E36" s="241"/>
      <c r="F36" s="241"/>
      <c r="G36" s="241"/>
      <c r="H36" s="234"/>
      <c r="I36" s="234"/>
      <c r="J36" s="234"/>
      <c r="K36" s="234"/>
      <c r="L36" s="234"/>
      <c r="M36" s="241"/>
      <c r="N36" s="241"/>
      <c r="O36" s="243"/>
      <c r="R36"/>
      <c r="S36"/>
      <c r="AL36"/>
      <c r="AM36"/>
      <c r="AN36"/>
      <c r="AO36"/>
    </row>
    <row r="37" spans="1:41" x14ac:dyDescent="0.35">
      <c r="A37" s="240"/>
      <c r="B37" s="137" t="s">
        <v>214</v>
      </c>
      <c r="C37" s="126">
        <f>IF(i_use_excav=1,$J$13,$J$12)</f>
        <v>4899999.9999999991</v>
      </c>
      <c r="D37" s="241"/>
      <c r="E37" s="261" t="s">
        <v>307</v>
      </c>
      <c r="F37" s="262"/>
      <c r="G37" s="246"/>
      <c r="H37" s="234"/>
      <c r="I37" s="234"/>
      <c r="J37" s="234"/>
      <c r="K37" s="234"/>
      <c r="L37" s="234"/>
      <c r="M37" s="241"/>
      <c r="N37" s="241"/>
      <c r="O37" s="243"/>
      <c r="R37"/>
      <c r="S37"/>
      <c r="AL37"/>
      <c r="AM37"/>
      <c r="AN37"/>
      <c r="AO37"/>
    </row>
    <row r="38" spans="1:41" x14ac:dyDescent="0.35">
      <c r="A38" s="240"/>
      <c r="B38" s="136" t="s">
        <v>215</v>
      </c>
      <c r="C38" s="116">
        <f>C40*(B40*(1-$G$3)*g*e_T/1000)</f>
        <v>167.25746675589232</v>
      </c>
      <c r="D38" s="241"/>
      <c r="E38" s="263">
        <f>E40/C40^2</f>
        <v>2.0244619575813063E-4</v>
      </c>
      <c r="F38" s="264"/>
      <c r="G38" s="246"/>
      <c r="H38" s="225"/>
      <c r="I38" s="225"/>
      <c r="J38" s="234"/>
      <c r="K38" s="225"/>
      <c r="L38" s="234"/>
      <c r="M38" s="241"/>
      <c r="N38" s="241"/>
      <c r="O38" s="243"/>
      <c r="R38"/>
      <c r="S38" s="41"/>
      <c r="AL38"/>
      <c r="AM38"/>
      <c r="AN38"/>
      <c r="AO38"/>
    </row>
    <row r="39" spans="1:41" ht="24" x14ac:dyDescent="0.35">
      <c r="A39" s="240"/>
      <c r="B39" s="121" t="s">
        <v>225</v>
      </c>
      <c r="C39" s="121" t="s">
        <v>284</v>
      </c>
      <c r="D39" s="121" t="s">
        <v>285</v>
      </c>
      <c r="E39" s="121" t="s">
        <v>226</v>
      </c>
      <c r="F39" s="121" t="s">
        <v>227</v>
      </c>
      <c r="G39" s="121" t="s">
        <v>228</v>
      </c>
      <c r="H39" s="121" t="s">
        <v>229</v>
      </c>
      <c r="I39" s="197" t="s">
        <v>221</v>
      </c>
      <c r="J39" s="232" t="s">
        <v>290</v>
      </c>
      <c r="K39" s="197" t="s">
        <v>222</v>
      </c>
      <c r="L39" s="232" t="s">
        <v>291</v>
      </c>
      <c r="M39" s="235" t="s">
        <v>283</v>
      </c>
      <c r="N39" s="232" t="s">
        <v>283</v>
      </c>
      <c r="O39" s="243"/>
      <c r="R39"/>
      <c r="S39" s="41"/>
      <c r="AL39"/>
      <c r="AM39"/>
      <c r="AN39"/>
      <c r="AO39"/>
    </row>
    <row r="40" spans="1:41" x14ac:dyDescent="0.35">
      <c r="A40" s="240"/>
      <c r="B40" s="129">
        <f>IF($C$16="Average head",$B43,$B42)</f>
        <v>117.20517843732432</v>
      </c>
      <c r="C40" s="190">
        <f>$C$37/(3600*$C$5)</f>
        <v>170.13888888888886</v>
      </c>
      <c r="D40" s="130">
        <f>$C$38*1000/($C$6/$H$2*$B40*(1+$H$3))</f>
        <v>127.59186746987947</v>
      </c>
      <c r="E40" s="131">
        <f>G$3*B40</f>
        <v>5.8602589218662162</v>
      </c>
      <c r="F40" s="135">
        <f>E$38*$D40^2</f>
        <v>3.295760224411219</v>
      </c>
      <c r="G40" s="132">
        <f>$B40-E40</f>
        <v>111.3449195154581</v>
      </c>
      <c r="H40" s="132">
        <f>$B40+F40</f>
        <v>120.50093866173555</v>
      </c>
      <c r="I40" s="198">
        <f>$C$38*1000/($C$6*e_T*G40)</f>
        <v>170.13888888888886</v>
      </c>
      <c r="J40" s="233">
        <f>I40-C40</f>
        <v>0</v>
      </c>
      <c r="K40" s="198">
        <f>$C$38*1000/($C$6*H40/e_P)</f>
        <v>128.75599809463466</v>
      </c>
      <c r="L40" s="233">
        <f>K40-D40</f>
        <v>1.1641306247551881</v>
      </c>
      <c r="M40" s="233">
        <f>C40*(B40-E40)*9.81*e_T/1000</f>
        <v>167.25746675589235</v>
      </c>
      <c r="N40" s="233">
        <f>I40*(G40)*9.81*e_T/1000</f>
        <v>167.25746675589235</v>
      </c>
      <c r="O40" s="243"/>
      <c r="R40"/>
      <c r="S40" s="41"/>
      <c r="AL40"/>
      <c r="AM40"/>
      <c r="AN40"/>
      <c r="AO40"/>
    </row>
    <row r="41" spans="1:41" x14ac:dyDescent="0.35">
      <c r="A41" s="240"/>
      <c r="B41" s="134">
        <f>H7-I8</f>
        <v>157.54443588276547</v>
      </c>
      <c r="C41" s="125">
        <f ca="1">IF($C$45=1,F49,I41)</f>
        <v>122.6149248478726</v>
      </c>
      <c r="D41" s="125">
        <f ca="1">IF($C$45=1,G14,K41)</f>
        <v>97.297906834888408</v>
      </c>
      <c r="E41" s="135">
        <f ca="1">E$38*$C41^2</f>
        <v>3.0436610930194727</v>
      </c>
      <c r="F41" s="135">
        <f ca="1">E$38*$D41^2</f>
        <v>1.9165343831310864</v>
      </c>
      <c r="G41" s="135">
        <f ca="1">$B41-E41</f>
        <v>154.500774789746</v>
      </c>
      <c r="H41" s="124">
        <f ca="1">$B41+F41</f>
        <v>159.46097026589655</v>
      </c>
      <c r="I41" s="198">
        <f ca="1">$C$38*1000/($C$6*e_T*G41)</f>
        <v>122.6149248478726</v>
      </c>
      <c r="J41" s="233">
        <f ca="1">I41-C41</f>
        <v>0</v>
      </c>
      <c r="K41" s="198">
        <f ca="1">$C$38*1000/($C$6*H41/e_P)</f>
        <v>97.297906834888408</v>
      </c>
      <c r="L41" s="233">
        <f ca="1">K41-D41</f>
        <v>0</v>
      </c>
      <c r="M41" s="233">
        <f ca="1">C41*(B41-E41)*9.81*e_T/1000</f>
        <v>167.25746675589232</v>
      </c>
      <c r="N41" s="233">
        <f ca="1">I41*(G41)*9.81*e_T/1000</f>
        <v>167.25746675589232</v>
      </c>
      <c r="O41" s="243"/>
      <c r="R41"/>
      <c r="S41" s="138"/>
      <c r="AL41"/>
      <c r="AM41"/>
      <c r="AN41"/>
      <c r="AO41"/>
    </row>
    <row r="42" spans="1:41" x14ac:dyDescent="0.35">
      <c r="A42" s="240"/>
      <c r="B42" s="134">
        <f>H8-I7</f>
        <v>117.20517843732432</v>
      </c>
      <c r="C42" s="125">
        <f ca="1">IF($C$45=1,F50,I42)</f>
        <v>170.13888888888886</v>
      </c>
      <c r="D42" s="125">
        <f ca="1">IF($C$45=1,G15,K42)</f>
        <v>128.69487770158463</v>
      </c>
      <c r="E42" s="135">
        <f ca="1">E$38*$C42^2</f>
        <v>5.8602589218662162</v>
      </c>
      <c r="F42" s="135">
        <f ca="1">E$38*$D42^2</f>
        <v>3.3529891123471045</v>
      </c>
      <c r="G42" s="135">
        <f ca="1">$B42-E42</f>
        <v>111.3449195154581</v>
      </c>
      <c r="H42" s="124">
        <f ca="1">$B42+F42</f>
        <v>120.55816754967142</v>
      </c>
      <c r="I42" s="198">
        <f ca="1">IF($C$16="Average head",MIN($I$40,$C$38*1000/($C$6*e_T*G42)),$C$38*1000/($C$6*e_T*G42))</f>
        <v>170.13888888888886</v>
      </c>
      <c r="J42" s="233">
        <f ca="1">I42-C42</f>
        <v>0</v>
      </c>
      <c r="K42" s="198">
        <f ca="1">$C$38*1000/($C$6*H42/e_P)</f>
        <v>128.69487770158463</v>
      </c>
      <c r="L42" s="233">
        <f ca="1">K42-D42</f>
        <v>0</v>
      </c>
      <c r="M42" s="233">
        <f ca="1">C42*(B42-E42)*9.81*e_T/1000</f>
        <v>167.25746675589235</v>
      </c>
      <c r="N42" s="233">
        <f ca="1">I42*(G42)*9.81*e_T/1000</f>
        <v>167.25746675589235</v>
      </c>
      <c r="O42" s="243"/>
      <c r="R42"/>
      <c r="S42"/>
      <c r="V42" s="185"/>
      <c r="W42" s="185"/>
      <c r="AL42"/>
      <c r="AM42"/>
      <c r="AN42"/>
      <c r="AO42"/>
    </row>
    <row r="43" spans="1:41" x14ac:dyDescent="0.35">
      <c r="A43" s="240"/>
      <c r="B43" s="134">
        <f>AVERAGE(B41:B42)</f>
        <v>137.3748071600449</v>
      </c>
      <c r="C43" s="125">
        <f ca="1">IF($C$45=1,F51,I43)</f>
        <v>142.13219652315959</v>
      </c>
      <c r="D43" s="125">
        <f ca="1">IF($C$45=1,G16,K43)</f>
        <v>110.92919266153766</v>
      </c>
      <c r="E43" s="135">
        <f ca="1">E$38*$C43^2</f>
        <v>4.0897292312311517</v>
      </c>
      <c r="F43" s="135">
        <f ca="1">E$38*$D43^2</f>
        <v>2.4911582947968363</v>
      </c>
      <c r="G43" s="135">
        <f ca="1">$B43-E43</f>
        <v>133.28507792881373</v>
      </c>
      <c r="H43" s="124">
        <f ca="1">$B43+F43</f>
        <v>139.86596545484173</v>
      </c>
      <c r="I43" s="198">
        <f ca="1">$C$38*1000/($C$6*e_T*G43)</f>
        <v>142.13219652315959</v>
      </c>
      <c r="J43" s="233">
        <f ca="1">I43-C43</f>
        <v>0</v>
      </c>
      <c r="K43" s="198">
        <f ca="1">$C$38*1000/($C$6*H43/e_P)</f>
        <v>110.92919266153766</v>
      </c>
      <c r="L43" s="233">
        <f ca="1">K43-D43</f>
        <v>0</v>
      </c>
      <c r="M43" s="233">
        <f ca="1">C43*(B43-E43)*9.81*e_T/1000</f>
        <v>167.25746675589232</v>
      </c>
      <c r="N43" s="233">
        <f ca="1">I43*(G43)*9.81*e_T/1000</f>
        <v>167.25746675589232</v>
      </c>
      <c r="O43" s="243"/>
      <c r="R43"/>
      <c r="S43"/>
      <c r="V43" s="185"/>
      <c r="W43" s="185"/>
      <c r="AL43"/>
      <c r="AM43"/>
      <c r="AN43"/>
      <c r="AO43"/>
    </row>
    <row r="44" spans="1:41" ht="24" x14ac:dyDescent="0.35">
      <c r="A44" s="240"/>
      <c r="B44" s="247"/>
      <c r="C44" s="247"/>
      <c r="D44" s="247"/>
      <c r="E44" s="114"/>
      <c r="F44" s="114"/>
      <c r="G44" s="121" t="s">
        <v>213</v>
      </c>
      <c r="H44" s="128">
        <f ca="1">H41/G42</f>
        <v>1.4321351253368904</v>
      </c>
      <c r="I44" s="248" t="str">
        <f ca="1">IF(H44&lt;$H$45,"OK!","Out of range!!")</f>
        <v>OK!</v>
      </c>
      <c r="J44" s="246"/>
      <c r="K44" s="241"/>
      <c r="L44" s="241"/>
      <c r="M44" s="241"/>
      <c r="N44" s="241"/>
      <c r="O44" s="243"/>
      <c r="R44"/>
      <c r="S44"/>
      <c r="V44" s="185"/>
      <c r="W44" s="185"/>
      <c r="AL44"/>
      <c r="AM44"/>
      <c r="AN44"/>
      <c r="AO44"/>
    </row>
    <row r="45" spans="1:41" x14ac:dyDescent="0.35">
      <c r="A45" s="240"/>
      <c r="B45" s="241" t="s">
        <v>289</v>
      </c>
      <c r="C45" s="241">
        <v>0</v>
      </c>
      <c r="D45" s="241"/>
      <c r="E45" s="241"/>
      <c r="F45" s="241"/>
      <c r="G45" s="121" t="s">
        <v>172</v>
      </c>
      <c r="H45" s="128">
        <f ca="1">5*10^-7*G41^2-0.001*G41+$C$7</f>
        <v>1.4858344699155699</v>
      </c>
      <c r="I45" s="179"/>
      <c r="J45" s="241"/>
      <c r="K45" s="241"/>
      <c r="L45" s="241"/>
      <c r="M45" s="241"/>
      <c r="N45" s="241"/>
      <c r="O45" s="243"/>
      <c r="R45"/>
      <c r="S45"/>
      <c r="V45" s="185"/>
      <c r="W45" s="185"/>
      <c r="AL45"/>
      <c r="AM45"/>
      <c r="AN45"/>
      <c r="AO45"/>
    </row>
    <row r="46" spans="1:41" x14ac:dyDescent="0.35">
      <c r="A46" s="240"/>
      <c r="B46" s="241"/>
      <c r="C46" s="241"/>
      <c r="D46" s="241"/>
      <c r="E46" s="241"/>
      <c r="F46" s="241"/>
      <c r="G46" s="246"/>
      <c r="H46" s="128">
        <f>B41/B42</f>
        <v>1.3441764091252388</v>
      </c>
      <c r="I46" s="246"/>
      <c r="J46" s="241"/>
      <c r="K46" s="241"/>
      <c r="L46" s="241"/>
      <c r="M46" s="241"/>
      <c r="N46" s="241"/>
      <c r="O46" s="243"/>
      <c r="R46"/>
      <c r="S46"/>
      <c r="U46" s="41"/>
      <c r="V46" s="41"/>
      <c r="W46" s="41"/>
      <c r="X46" s="41"/>
      <c r="Y46" s="41"/>
      <c r="Z46" s="41"/>
      <c r="AA46" s="41"/>
      <c r="AB46" s="41"/>
      <c r="AC46" s="41"/>
      <c r="AD46" s="41"/>
      <c r="AE46" s="41"/>
      <c r="AL46"/>
      <c r="AM46"/>
      <c r="AN46"/>
      <c r="AO46"/>
    </row>
    <row r="47" spans="1:41" x14ac:dyDescent="0.35">
      <c r="A47" s="240"/>
      <c r="B47" s="241"/>
      <c r="C47" s="241"/>
      <c r="D47" s="241"/>
      <c r="E47" s="241"/>
      <c r="F47" s="241"/>
      <c r="G47" s="241"/>
      <c r="H47" s="241"/>
      <c r="I47" s="241"/>
      <c r="J47" s="241"/>
      <c r="K47" s="241"/>
      <c r="L47" s="241"/>
      <c r="M47" s="241"/>
      <c r="N47" s="241"/>
      <c r="O47" s="243"/>
      <c r="R47"/>
      <c r="S47"/>
      <c r="U47" s="41"/>
      <c r="V47" s="41"/>
      <c r="W47" s="41"/>
      <c r="X47" s="41"/>
      <c r="Y47" s="41"/>
      <c r="Z47" s="41"/>
      <c r="AA47" s="41"/>
      <c r="AB47" s="41"/>
      <c r="AC47" s="41"/>
      <c r="AD47" s="41"/>
      <c r="AE47" s="41"/>
      <c r="AL47"/>
      <c r="AM47"/>
      <c r="AN47"/>
      <c r="AO47"/>
    </row>
    <row r="48" spans="1:41" ht="43.5" x14ac:dyDescent="0.35">
      <c r="A48" s="240"/>
      <c r="B48" s="252" t="s">
        <v>298</v>
      </c>
      <c r="C48" s="252"/>
      <c r="D48" s="252"/>
      <c r="E48" s="252"/>
      <c r="F48" s="252"/>
      <c r="G48" s="241"/>
      <c r="H48" s="241"/>
      <c r="I48" s="241"/>
      <c r="J48" s="241"/>
      <c r="K48" s="241"/>
      <c r="L48" s="241"/>
      <c r="M48" s="241"/>
      <c r="N48" s="241"/>
      <c r="O48" s="243"/>
      <c r="R48"/>
      <c r="AL48"/>
      <c r="AM48"/>
      <c r="AN48"/>
      <c r="AO48"/>
    </row>
    <row r="49" spans="1:31" ht="91" customHeight="1" x14ac:dyDescent="0.35">
      <c r="A49" s="240"/>
      <c r="B49" s="161" t="s">
        <v>211</v>
      </c>
      <c r="C49" s="174">
        <f>SUM($C$21:$C$22)</f>
        <v>1</v>
      </c>
      <c r="D49" s="254" t="str">
        <f>INDEX(Logic!$M$8:$M$19,MATCH(C53,Logic!$L$8:$L$19,0))</f>
        <v>Solve for Head range by iterating/balancing the LV in UR and LR</v>
      </c>
      <c r="E49" s="255"/>
      <c r="F49" s="253"/>
      <c r="G49" s="241"/>
      <c r="H49" s="241"/>
      <c r="I49" s="241"/>
      <c r="J49" s="241"/>
      <c r="K49" s="241"/>
      <c r="L49" s="241"/>
      <c r="M49" s="241"/>
      <c r="N49" s="241"/>
      <c r="O49" s="243"/>
      <c r="R49"/>
      <c r="U49" s="138"/>
      <c r="V49" s="138"/>
      <c r="W49" s="138"/>
      <c r="X49" s="138"/>
      <c r="Y49" s="138"/>
      <c r="Z49" s="138"/>
      <c r="AA49" s="138"/>
      <c r="AB49" s="138"/>
      <c r="AC49" s="138"/>
      <c r="AD49" s="138"/>
      <c r="AE49" s="138"/>
    </row>
    <row r="50" spans="1:31" x14ac:dyDescent="0.35">
      <c r="A50" s="240"/>
      <c r="B50" s="161" t="s">
        <v>212</v>
      </c>
      <c r="C50" s="174">
        <f>SUM($C$23:$C$24)</f>
        <v>1</v>
      </c>
      <c r="D50" s="256"/>
      <c r="E50" s="257"/>
      <c r="F50" s="253"/>
      <c r="G50" s="241"/>
      <c r="H50" s="241"/>
      <c r="I50" s="241"/>
      <c r="J50" s="241"/>
      <c r="K50" s="241"/>
      <c r="L50" s="241"/>
      <c r="M50" s="241"/>
      <c r="N50" s="241"/>
      <c r="O50" s="243"/>
      <c r="R50"/>
      <c r="S50"/>
    </row>
    <row r="51" spans="1:31" x14ac:dyDescent="0.35">
      <c r="A51" s="240"/>
      <c r="B51" s="162" t="s">
        <v>0</v>
      </c>
      <c r="C51" s="156">
        <f>IF(i_solve_power=0,0,1)</f>
        <v>0</v>
      </c>
      <c r="D51" s="256"/>
      <c r="E51" s="257"/>
      <c r="F51" s="253"/>
      <c r="G51" s="241"/>
      <c r="H51" s="241"/>
      <c r="I51" s="241"/>
      <c r="J51" s="241"/>
      <c r="K51" s="241"/>
      <c r="L51" s="241"/>
      <c r="M51" s="241"/>
      <c r="N51" s="241"/>
      <c r="O51" s="243"/>
      <c r="R51"/>
      <c r="S51"/>
    </row>
    <row r="52" spans="1:31" x14ac:dyDescent="0.35">
      <c r="A52" s="240"/>
      <c r="B52" s="162" t="s">
        <v>246</v>
      </c>
      <c r="C52" s="156">
        <f>IF(i_fixed_speed=1,1,0)</f>
        <v>1</v>
      </c>
      <c r="D52" s="256"/>
      <c r="E52" s="257"/>
      <c r="F52" s="253"/>
      <c r="G52" s="241"/>
      <c r="H52" s="241"/>
      <c r="I52" s="241"/>
      <c r="J52" s="241"/>
      <c r="K52" s="241"/>
      <c r="L52" s="241"/>
      <c r="M52" s="241"/>
      <c r="N52" s="241"/>
      <c r="O52" s="243"/>
      <c r="R52"/>
      <c r="S52"/>
    </row>
    <row r="53" spans="1:31" x14ac:dyDescent="0.35">
      <c r="A53" s="240"/>
      <c r="B53" s="162" t="s">
        <v>137</v>
      </c>
      <c r="C53" s="156" t="str">
        <f>_xlfn.CONCAT("I_",C51,"_",C52," WL_",C49,"_",C50)</f>
        <v>I_0_1 WL_1_1</v>
      </c>
      <c r="D53" s="256"/>
      <c r="E53" s="257"/>
      <c r="F53" s="253"/>
      <c r="G53" s="241"/>
      <c r="H53" s="241"/>
      <c r="I53" s="241"/>
      <c r="J53" s="241"/>
      <c r="K53" s="241"/>
      <c r="L53" s="241"/>
      <c r="M53" s="241"/>
      <c r="N53" s="241"/>
      <c r="O53" s="243"/>
      <c r="R53"/>
      <c r="S53"/>
    </row>
    <row r="54" spans="1:31" x14ac:dyDescent="0.35">
      <c r="A54" s="240"/>
      <c r="B54" s="161" t="s">
        <v>244</v>
      </c>
      <c r="C54" s="122">
        <f>INDEX(Logic!$D$8:$D$19,MATCH(C53,Logic!$L$8:$L$19,0))</f>
        <v>7</v>
      </c>
      <c r="D54" s="258"/>
      <c r="E54" s="259"/>
      <c r="F54" s="253"/>
      <c r="G54" s="241"/>
      <c r="H54" s="241"/>
      <c r="I54" s="241"/>
      <c r="J54" s="241"/>
      <c r="K54" s="241"/>
      <c r="L54" s="241"/>
      <c r="M54" s="241"/>
      <c r="N54" s="241"/>
      <c r="O54" s="243"/>
      <c r="R54"/>
      <c r="S54" s="41"/>
    </row>
    <row r="55" spans="1:31" x14ac:dyDescent="0.35">
      <c r="A55" s="240"/>
      <c r="B55" s="241"/>
      <c r="C55" s="241"/>
      <c r="D55" s="241"/>
      <c r="E55" s="241"/>
      <c r="F55" s="241"/>
      <c r="G55" s="241"/>
      <c r="H55" s="241"/>
      <c r="I55" s="241"/>
      <c r="J55" s="241"/>
      <c r="K55" s="241"/>
      <c r="L55" s="241"/>
      <c r="M55" s="241"/>
      <c r="N55" s="241"/>
      <c r="O55" s="243"/>
      <c r="R55"/>
      <c r="S55" s="41"/>
    </row>
    <row r="56" spans="1:31" x14ac:dyDescent="0.35">
      <c r="A56" s="240"/>
      <c r="B56" s="241"/>
      <c r="C56" s="241"/>
      <c r="D56" s="241"/>
      <c r="E56" s="241"/>
      <c r="F56" s="241"/>
      <c r="G56" s="241"/>
      <c r="H56" s="241"/>
      <c r="I56" s="241"/>
      <c r="J56" s="241"/>
      <c r="K56" s="241"/>
      <c r="L56" s="241"/>
      <c r="M56" s="241"/>
      <c r="N56" s="241"/>
      <c r="O56" s="243"/>
      <c r="R56"/>
      <c r="S56"/>
    </row>
    <row r="57" spans="1:31" x14ac:dyDescent="0.35">
      <c r="A57" s="240"/>
      <c r="B57" s="241"/>
      <c r="C57" s="241"/>
      <c r="D57" s="241"/>
      <c r="E57" s="241"/>
      <c r="F57" s="241"/>
      <c r="G57" s="241"/>
      <c r="H57" s="241"/>
      <c r="I57" s="241"/>
      <c r="J57" s="241"/>
      <c r="K57" s="241"/>
      <c r="L57" s="241"/>
      <c r="M57" s="241"/>
      <c r="N57" s="241"/>
      <c r="O57" s="243"/>
      <c r="R57"/>
      <c r="S57" s="138"/>
    </row>
    <row r="58" spans="1:31" x14ac:dyDescent="0.35">
      <c r="A58" s="240"/>
      <c r="B58" s="241"/>
      <c r="C58" s="241"/>
      <c r="D58" s="241"/>
      <c r="E58" s="241"/>
      <c r="F58" s="241"/>
      <c r="G58" s="241"/>
      <c r="H58" s="241"/>
      <c r="I58" s="241"/>
      <c r="J58" s="241"/>
      <c r="K58" s="241"/>
      <c r="L58" s="241"/>
      <c r="M58" s="241"/>
      <c r="N58" s="241"/>
      <c r="O58" s="243"/>
      <c r="R58"/>
      <c r="S58"/>
    </row>
    <row r="59" spans="1:31" x14ac:dyDescent="0.35">
      <c r="A59" s="240"/>
      <c r="B59" s="241"/>
      <c r="C59" s="241"/>
      <c r="D59" s="241"/>
      <c r="E59" s="241"/>
      <c r="F59" s="241"/>
      <c r="G59" s="241"/>
      <c r="H59" s="241"/>
      <c r="I59" s="241"/>
      <c r="J59" s="241"/>
      <c r="K59" s="241"/>
      <c r="L59" s="241"/>
      <c r="M59" s="241"/>
      <c r="N59" s="241"/>
      <c r="O59" s="243"/>
      <c r="R59"/>
      <c r="S59"/>
    </row>
    <row r="60" spans="1:31" x14ac:dyDescent="0.35">
      <c r="A60" s="240"/>
      <c r="B60" s="241"/>
      <c r="C60" s="241"/>
      <c r="D60" s="241"/>
      <c r="E60" s="241"/>
      <c r="F60" s="241"/>
      <c r="G60" s="241"/>
      <c r="H60" s="241"/>
      <c r="I60" s="241"/>
      <c r="J60" s="241"/>
      <c r="K60" s="241"/>
      <c r="L60" s="241"/>
      <c r="M60" s="241"/>
      <c r="N60" s="241"/>
      <c r="O60" s="243"/>
      <c r="R60"/>
      <c r="S60"/>
    </row>
    <row r="61" spans="1:31" x14ac:dyDescent="0.35">
      <c r="A61" s="240"/>
      <c r="B61" s="241"/>
      <c r="C61" s="241"/>
      <c r="D61" s="241"/>
      <c r="E61" s="241"/>
      <c r="F61" s="241"/>
      <c r="G61" s="241"/>
      <c r="H61" s="241"/>
      <c r="I61" s="241"/>
      <c r="J61" s="241"/>
      <c r="K61" s="241"/>
      <c r="L61" s="241"/>
      <c r="M61" s="241"/>
      <c r="N61" s="241"/>
      <c r="O61" s="243"/>
      <c r="R61"/>
      <c r="S61"/>
    </row>
    <row r="62" spans="1:31" x14ac:dyDescent="0.35">
      <c r="A62" s="240"/>
      <c r="B62" s="241"/>
      <c r="C62" s="241"/>
      <c r="D62" s="241"/>
      <c r="E62" s="241"/>
      <c r="F62" s="241"/>
      <c r="G62" s="241"/>
      <c r="H62" s="241"/>
      <c r="I62" s="241"/>
      <c r="J62" s="241"/>
      <c r="K62" s="241"/>
      <c r="L62" s="241"/>
      <c r="M62" s="241"/>
      <c r="N62" s="241"/>
      <c r="O62" s="243"/>
      <c r="R62"/>
      <c r="S62"/>
    </row>
    <row r="63" spans="1:31" x14ac:dyDescent="0.35">
      <c r="A63" s="249"/>
      <c r="B63" s="250"/>
      <c r="C63" s="250"/>
      <c r="D63" s="250"/>
      <c r="E63" s="250"/>
      <c r="F63" s="250"/>
      <c r="G63" s="250"/>
      <c r="H63" s="250"/>
      <c r="I63" s="250"/>
      <c r="J63" s="250"/>
      <c r="K63" s="250"/>
      <c r="L63" s="250"/>
      <c r="M63" s="250"/>
      <c r="N63" s="250"/>
      <c r="O63" s="251"/>
      <c r="R63"/>
      <c r="S63"/>
    </row>
    <row r="64" spans="1:31" x14ac:dyDescent="0.35">
      <c r="R64"/>
      <c r="S64"/>
    </row>
    <row r="65" spans="18:19" x14ac:dyDescent="0.35">
      <c r="R65"/>
      <c r="S65"/>
    </row>
    <row r="66" spans="18:19" x14ac:dyDescent="0.35">
      <c r="R66"/>
      <c r="S66"/>
    </row>
    <row r="67" spans="18:19" x14ac:dyDescent="0.35">
      <c r="R67"/>
      <c r="S67"/>
    </row>
    <row r="68" spans="18:19" x14ac:dyDescent="0.35">
      <c r="R68"/>
    </row>
    <row r="69" spans="18:19" x14ac:dyDescent="0.35">
      <c r="R69"/>
    </row>
    <row r="70" spans="18:19" x14ac:dyDescent="0.35">
      <c r="R70"/>
    </row>
    <row r="71" spans="18:19" x14ac:dyDescent="0.35">
      <c r="R71"/>
    </row>
    <row r="72" spans="18:19" x14ac:dyDescent="0.35">
      <c r="R72"/>
    </row>
    <row r="73" spans="18:19" x14ac:dyDescent="0.35">
      <c r="R73"/>
    </row>
    <row r="74" spans="18:19" x14ac:dyDescent="0.35">
      <c r="R74"/>
    </row>
    <row r="75" spans="18:19" x14ac:dyDescent="0.35">
      <c r="R75"/>
    </row>
    <row r="76" spans="18:19" x14ac:dyDescent="0.35">
      <c r="R76"/>
    </row>
    <row r="77" spans="18:19" x14ac:dyDescent="0.35">
      <c r="R77"/>
    </row>
    <row r="78" spans="18:19" x14ac:dyDescent="0.35">
      <c r="R78"/>
    </row>
  </sheetData>
  <mergeCells count="15">
    <mergeCell ref="W2:Z4"/>
    <mergeCell ref="Q1:U1"/>
    <mergeCell ref="Q15:U15"/>
    <mergeCell ref="D49:E54"/>
    <mergeCell ref="E37:F37"/>
    <mergeCell ref="E38:F38"/>
    <mergeCell ref="G17:H17"/>
    <mergeCell ref="I18:I20"/>
    <mergeCell ref="R3:U4"/>
    <mergeCell ref="B34:F35"/>
    <mergeCell ref="B2:C2"/>
    <mergeCell ref="F5:I5"/>
    <mergeCell ref="H35:L38"/>
    <mergeCell ref="B15:C15"/>
    <mergeCell ref="B20:C20"/>
  </mergeCells>
  <conditionalFormatting sqref="W5:Z13">
    <cfRule type="colorScale" priority="1">
      <colorScale>
        <cfvo type="min"/>
        <cfvo type="max"/>
        <color rgb="FFFCFCFF"/>
        <color rgb="FF63BE7B"/>
      </colorScale>
    </cfRule>
  </conditionalFormatting>
  <dataValidations disablePrompts="1" count="1">
    <dataValidation type="list" allowBlank="1" showInputMessage="1" showErrorMessage="1" sqref="C16" xr:uid="{F837EAF7-49BC-496C-A41C-AE03760DC2C0}">
      <formula1>AL$1:AL$2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3610" r:id="rId3" name="Button 362">
              <controlPr defaultSize="0" print="0" autoFill="0" autoPict="0" macro="[0]!trial_res_volumes">
                <anchor moveWithCells="1" sizeWithCells="1">
                  <from>
                    <xdr:col>10</xdr:col>
                    <xdr:colOff>247650</xdr:colOff>
                    <xdr:row>10</xdr:row>
                    <xdr:rowOff>19050</xdr:rowOff>
                  </from>
                  <to>
                    <xdr:col>12</xdr:col>
                    <xdr:colOff>203200</xdr:colOff>
                    <xdr:row>12</xdr:row>
                    <xdr:rowOff>120650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B0286-4190-4532-8B54-7D316882D348}">
  <sheetPr codeName="Sheet4"/>
  <dimension ref="G3:T22"/>
  <sheetViews>
    <sheetView topLeftCell="E1" zoomScale="115" zoomScaleNormal="115" workbookViewId="0">
      <selection activeCell="U19" sqref="U19"/>
    </sheetView>
  </sheetViews>
  <sheetFormatPr defaultRowHeight="14.5" x14ac:dyDescent="0.35"/>
  <sheetData>
    <row r="3" spans="7:20" x14ac:dyDescent="0.35">
      <c r="P3">
        <v>1</v>
      </c>
    </row>
    <row r="4" spans="7:20" ht="15.5" x14ac:dyDescent="0.35">
      <c r="R4" s="182"/>
    </row>
    <row r="5" spans="7:20" ht="17.5" x14ac:dyDescent="0.35">
      <c r="O5">
        <v>1.25</v>
      </c>
      <c r="R5" s="183" t="s">
        <v>274</v>
      </c>
    </row>
    <row r="6" spans="7:20" ht="15.5" x14ac:dyDescent="0.35">
      <c r="R6" s="182"/>
    </row>
    <row r="7" spans="7:20" ht="17.5" x14ac:dyDescent="0.35">
      <c r="K7" s="143" t="s">
        <v>200</v>
      </c>
      <c r="L7" s="143" t="s">
        <v>3</v>
      </c>
      <c r="M7" s="143" t="s">
        <v>198</v>
      </c>
      <c r="N7" s="144" t="s">
        <v>199</v>
      </c>
      <c r="O7" s="143" t="s">
        <v>198</v>
      </c>
      <c r="P7" s="144" t="s">
        <v>199</v>
      </c>
      <c r="R7" s="183" t="s">
        <v>275</v>
      </c>
    </row>
    <row r="8" spans="7:20" ht="15.5" x14ac:dyDescent="0.35">
      <c r="K8" s="119" t="s">
        <v>72</v>
      </c>
      <c r="L8" s="119" t="s">
        <v>202</v>
      </c>
      <c r="M8" s="147">
        <v>335</v>
      </c>
      <c r="N8" s="148">
        <v>154</v>
      </c>
      <c r="O8" s="180">
        <f>$O$5*(M9-N8)+N9</f>
        <v>244.5</v>
      </c>
      <c r="P8" s="180">
        <f>M8-$O$5*(M9-N8)</f>
        <v>202.5</v>
      </c>
      <c r="R8" s="182"/>
    </row>
    <row r="9" spans="7:20" ht="17.5" x14ac:dyDescent="0.35">
      <c r="K9" s="127" t="s">
        <v>76</v>
      </c>
      <c r="L9" s="127" t="s">
        <v>202</v>
      </c>
      <c r="M9" s="149">
        <v>260</v>
      </c>
      <c r="N9" s="150">
        <v>112</v>
      </c>
      <c r="O9" s="180">
        <f>(M8-N9)/$O$5+N8</f>
        <v>332.4</v>
      </c>
      <c r="P9" s="180">
        <f>M8-$O$5*(M9-N8)</f>
        <v>202.5</v>
      </c>
      <c r="R9" s="183" t="s">
        <v>278</v>
      </c>
    </row>
    <row r="10" spans="7:20" ht="15.5" x14ac:dyDescent="0.35">
      <c r="K10" s="143" t="s">
        <v>122</v>
      </c>
      <c r="L10" s="143" t="s">
        <v>208</v>
      </c>
      <c r="M10" s="151">
        <v>0</v>
      </c>
      <c r="N10" s="152">
        <v>0</v>
      </c>
      <c r="O10" s="181">
        <v>0</v>
      </c>
      <c r="P10" s="181">
        <v>0</v>
      </c>
      <c r="R10" s="182"/>
    </row>
    <row r="11" spans="7:20" ht="17.5" x14ac:dyDescent="0.35">
      <c r="M11" s="41">
        <f>M8-N9</f>
        <v>223</v>
      </c>
      <c r="O11" s="41">
        <f>O8-P9</f>
        <v>42</v>
      </c>
      <c r="R11" s="183" t="s">
        <v>276</v>
      </c>
    </row>
    <row r="12" spans="7:20" ht="15.5" x14ac:dyDescent="0.35">
      <c r="G12">
        <v>1</v>
      </c>
      <c r="H12" t="s">
        <v>271</v>
      </c>
      <c r="M12" s="41">
        <f>M9-N8</f>
        <v>106</v>
      </c>
      <c r="O12" s="41">
        <f>O9-P8</f>
        <v>129.89999999999998</v>
      </c>
      <c r="R12" s="182"/>
    </row>
    <row r="13" spans="7:20" ht="15.5" x14ac:dyDescent="0.35">
      <c r="G13">
        <v>2</v>
      </c>
      <c r="H13" t="s">
        <v>272</v>
      </c>
      <c r="M13">
        <f>M11/M12</f>
        <v>2.1037735849056602</v>
      </c>
      <c r="O13">
        <f>O11/O12</f>
        <v>0.32332563510392615</v>
      </c>
      <c r="R13" s="182"/>
    </row>
    <row r="14" spans="7:20" x14ac:dyDescent="0.35">
      <c r="G14">
        <v>3</v>
      </c>
      <c r="H14" t="s">
        <v>273</v>
      </c>
    </row>
    <row r="15" spans="7:20" x14ac:dyDescent="0.35">
      <c r="G15">
        <v>4</v>
      </c>
      <c r="H15" t="s">
        <v>279</v>
      </c>
      <c r="P15" t="s">
        <v>237</v>
      </c>
      <c r="Q15" t="s">
        <v>238</v>
      </c>
      <c r="R15" t="s">
        <v>239</v>
      </c>
      <c r="S15" t="s">
        <v>240</v>
      </c>
      <c r="T15" t="s">
        <v>277</v>
      </c>
    </row>
    <row r="16" spans="7:20" x14ac:dyDescent="0.35">
      <c r="P16" s="184">
        <f>$O$5*(Q16-R16)+S16</f>
        <v>244.5</v>
      </c>
      <c r="Q16" s="41">
        <f>$M$9</f>
        <v>260</v>
      </c>
      <c r="R16" s="41">
        <f>$N$8</f>
        <v>154</v>
      </c>
      <c r="S16" s="41">
        <f>$N$9</f>
        <v>112</v>
      </c>
      <c r="T16">
        <f>(P16-S16)/(Q16-R16)</f>
        <v>1.25</v>
      </c>
    </row>
    <row r="17" spans="16:20" x14ac:dyDescent="0.35">
      <c r="P17" s="41">
        <f t="shared" ref="P17:P19" si="0">$M$8</f>
        <v>335</v>
      </c>
      <c r="Q17" s="184">
        <f>(P17-S17)/$O$5+R17</f>
        <v>332.4</v>
      </c>
      <c r="R17" s="41">
        <f t="shared" ref="R17:R19" si="1">$N$8</f>
        <v>154</v>
      </c>
      <c r="S17" s="41">
        <f t="shared" ref="S17:S18" si="2">$N$9</f>
        <v>112</v>
      </c>
      <c r="T17">
        <f t="shared" ref="T17:T19" si="3">(P17-S17)/(Q17-R17)</f>
        <v>1.2500000000000002</v>
      </c>
    </row>
    <row r="18" spans="16:20" x14ac:dyDescent="0.35">
      <c r="P18" s="41">
        <f t="shared" si="0"/>
        <v>335</v>
      </c>
      <c r="Q18" s="41">
        <f t="shared" ref="Q18:Q19" si="4">$M$9</f>
        <v>260</v>
      </c>
      <c r="R18" s="184">
        <f>Q18-(P18-S18)/$O$5</f>
        <v>81.599999999999994</v>
      </c>
      <c r="S18" s="41">
        <f t="shared" si="2"/>
        <v>112</v>
      </c>
      <c r="T18">
        <f t="shared" si="3"/>
        <v>1.25</v>
      </c>
    </row>
    <row r="19" spans="16:20" x14ac:dyDescent="0.35">
      <c r="P19" s="41">
        <f t="shared" si="0"/>
        <v>335</v>
      </c>
      <c r="Q19" s="41">
        <f t="shared" si="4"/>
        <v>260</v>
      </c>
      <c r="R19" s="41">
        <f t="shared" si="1"/>
        <v>154</v>
      </c>
      <c r="S19" s="184">
        <f>P19-$O$5*(Q19-R19)</f>
        <v>202.5</v>
      </c>
      <c r="T19">
        <f t="shared" si="3"/>
        <v>1.25</v>
      </c>
    </row>
    <row r="20" spans="16:20" x14ac:dyDescent="0.35">
      <c r="P20" s="41"/>
      <c r="Q20" s="41"/>
      <c r="R20" s="41"/>
      <c r="S20" s="41"/>
    </row>
    <row r="21" spans="16:20" x14ac:dyDescent="0.35">
      <c r="P21" s="41"/>
      <c r="Q21" s="41"/>
      <c r="R21" s="41"/>
      <c r="S21" s="41"/>
    </row>
    <row r="22" spans="16:20" x14ac:dyDescent="0.35">
      <c r="P22" s="41"/>
      <c r="Q22" s="41"/>
      <c r="R22" s="41"/>
      <c r="S22" s="4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AA1E9-7F8D-47A5-9FEF-4599217252F5}">
  <sheetPr codeName="Sheet3"/>
  <dimension ref="D4:M35"/>
  <sheetViews>
    <sheetView topLeftCell="A6" zoomScale="130" zoomScaleNormal="130" workbookViewId="0">
      <selection activeCell="F10" sqref="F10"/>
    </sheetView>
  </sheetViews>
  <sheetFormatPr defaultRowHeight="14.5" x14ac:dyDescent="0.35"/>
  <cols>
    <col min="2" max="2" width="14.1796875" customWidth="1"/>
    <col min="3" max="3" width="3.08984375" customWidth="1"/>
    <col min="4" max="4" width="4.7265625" bestFit="1" customWidth="1"/>
    <col min="5" max="5" width="3.1796875" bestFit="1" customWidth="1"/>
    <col min="6" max="6" width="3.81640625" customWidth="1"/>
    <col min="7" max="7" width="6.1796875" bestFit="1" customWidth="1"/>
    <col min="8" max="8" width="5.54296875" bestFit="1" customWidth="1"/>
    <col min="9" max="9" width="4.54296875" bestFit="1" customWidth="1"/>
    <col min="10" max="10" width="9.81640625" style="172" customWidth="1"/>
    <col min="11" max="11" width="104.6328125" customWidth="1"/>
    <col min="12" max="12" width="11.36328125" style="28" bestFit="1" customWidth="1"/>
    <col min="13" max="13" width="45.26953125" customWidth="1"/>
  </cols>
  <sheetData>
    <row r="4" spans="4:13" x14ac:dyDescent="0.35">
      <c r="L4"/>
    </row>
    <row r="7" spans="4:13" s="61" customFormat="1" x14ac:dyDescent="0.35">
      <c r="D7" s="168" t="s">
        <v>244</v>
      </c>
      <c r="E7" s="168" t="s">
        <v>211</v>
      </c>
      <c r="F7" s="168" t="s">
        <v>212</v>
      </c>
      <c r="G7" s="168" t="s">
        <v>73</v>
      </c>
      <c r="H7" s="168" t="s">
        <v>254</v>
      </c>
      <c r="I7" s="168" t="s">
        <v>243</v>
      </c>
      <c r="J7" s="169" t="s">
        <v>242</v>
      </c>
      <c r="K7" s="168"/>
      <c r="L7" s="168" t="s">
        <v>255</v>
      </c>
      <c r="M7" s="175" t="s">
        <v>268</v>
      </c>
    </row>
    <row r="8" spans="4:13" x14ac:dyDescent="0.35">
      <c r="D8" s="122">
        <v>1</v>
      </c>
      <c r="E8" s="163">
        <v>2</v>
      </c>
      <c r="F8" s="163">
        <v>2</v>
      </c>
      <c r="G8" s="163">
        <v>0</v>
      </c>
      <c r="H8" s="163">
        <v>0</v>
      </c>
      <c r="I8" s="165"/>
      <c r="J8" s="170" t="s">
        <v>247</v>
      </c>
      <c r="K8" s="170" t="s">
        <v>258</v>
      </c>
      <c r="L8" s="173" t="str">
        <f>_xlfn.CONCAT("I_",G8,"_",H8," WL_",E8,"_",F8)</f>
        <v>I_0_0 WL_2_2</v>
      </c>
      <c r="M8" s="176" t="s">
        <v>248</v>
      </c>
    </row>
    <row r="9" spans="4:13" x14ac:dyDescent="0.35">
      <c r="D9" s="122">
        <v>2</v>
      </c>
      <c r="E9" s="163">
        <v>2</v>
      </c>
      <c r="F9" s="163">
        <v>1</v>
      </c>
      <c r="G9" s="163">
        <v>0</v>
      </c>
      <c r="H9" s="163">
        <v>0</v>
      </c>
      <c r="I9" s="166" t="s">
        <v>211</v>
      </c>
      <c r="J9" s="171" t="s">
        <v>211</v>
      </c>
      <c r="K9" s="202" t="s">
        <v>245</v>
      </c>
      <c r="L9" s="173" t="str">
        <f t="shared" ref="L9:L19" si="0">_xlfn.CONCAT("I_",G9,"_",H9," WL_",E9,"_",F9)</f>
        <v>I_0_0 WL_2_1</v>
      </c>
      <c r="M9" s="176" t="s">
        <v>257</v>
      </c>
    </row>
    <row r="10" spans="4:13" x14ac:dyDescent="0.35">
      <c r="D10" s="122">
        <v>3</v>
      </c>
      <c r="E10" s="163">
        <v>1</v>
      </c>
      <c r="F10" s="163">
        <v>2</v>
      </c>
      <c r="G10" s="163">
        <v>0</v>
      </c>
      <c r="H10" s="163">
        <v>0</v>
      </c>
      <c r="I10" s="166" t="s">
        <v>212</v>
      </c>
      <c r="J10" s="171" t="s">
        <v>212</v>
      </c>
      <c r="K10" s="202"/>
      <c r="L10" s="173" t="str">
        <f t="shared" si="0"/>
        <v>I_0_0 WL_1_2</v>
      </c>
      <c r="M10" s="176" t="s">
        <v>256</v>
      </c>
    </row>
    <row r="11" spans="4:13" x14ac:dyDescent="0.35">
      <c r="D11" s="122">
        <v>4</v>
      </c>
      <c r="E11" s="163">
        <v>1</v>
      </c>
      <c r="F11" s="163">
        <v>1</v>
      </c>
      <c r="G11" s="163">
        <v>1</v>
      </c>
      <c r="H11" s="163">
        <v>0</v>
      </c>
      <c r="I11" s="165"/>
      <c r="J11" s="203" t="s">
        <v>251</v>
      </c>
      <c r="K11" s="203" t="s">
        <v>249</v>
      </c>
      <c r="L11" s="173" t="str">
        <f t="shared" si="0"/>
        <v>I_1_0 WL_1_1</v>
      </c>
      <c r="M11" s="176" t="s">
        <v>259</v>
      </c>
    </row>
    <row r="12" spans="4:13" ht="43.5" x14ac:dyDescent="0.35">
      <c r="D12" s="122">
        <v>5</v>
      </c>
      <c r="E12" s="163">
        <v>2</v>
      </c>
      <c r="F12" s="163">
        <v>1</v>
      </c>
      <c r="G12" s="163">
        <v>1</v>
      </c>
      <c r="H12" s="163">
        <v>0</v>
      </c>
      <c r="I12" s="165"/>
      <c r="J12" s="203" t="s">
        <v>0</v>
      </c>
      <c r="K12" s="203"/>
      <c r="L12" s="173" t="str">
        <f t="shared" si="0"/>
        <v>I_1_0 WL_2_1</v>
      </c>
      <c r="M12" s="177" t="s">
        <v>260</v>
      </c>
    </row>
    <row r="13" spans="4:13" ht="43.5" x14ac:dyDescent="0.35">
      <c r="D13" s="122">
        <v>6</v>
      </c>
      <c r="E13" s="163">
        <v>1</v>
      </c>
      <c r="F13" s="163">
        <v>2</v>
      </c>
      <c r="G13" s="163">
        <v>1</v>
      </c>
      <c r="H13" s="163">
        <v>0</v>
      </c>
      <c r="I13" s="167"/>
      <c r="J13" s="203" t="s">
        <v>0</v>
      </c>
      <c r="K13" s="203"/>
      <c r="L13" s="173" t="str">
        <f t="shared" si="0"/>
        <v>I_1_0 WL_1_2</v>
      </c>
      <c r="M13" s="177" t="s">
        <v>261</v>
      </c>
    </row>
    <row r="14" spans="4:13" x14ac:dyDescent="0.35">
      <c r="D14" s="122">
        <v>7</v>
      </c>
      <c r="E14" s="163">
        <v>1</v>
      </c>
      <c r="F14" s="163">
        <v>1</v>
      </c>
      <c r="G14" s="163">
        <v>0</v>
      </c>
      <c r="H14" s="163">
        <v>1</v>
      </c>
      <c r="I14" s="160"/>
      <c r="J14" s="204" t="s">
        <v>252</v>
      </c>
      <c r="K14" s="202" t="s">
        <v>249</v>
      </c>
      <c r="L14" s="173" t="str">
        <f t="shared" si="0"/>
        <v>I_0_1 WL_1_1</v>
      </c>
      <c r="M14" s="176" t="s">
        <v>262</v>
      </c>
    </row>
    <row r="15" spans="4:13" ht="58" x14ac:dyDescent="0.35">
      <c r="D15" s="122">
        <v>8</v>
      </c>
      <c r="E15" s="163">
        <v>2</v>
      </c>
      <c r="F15" s="163">
        <v>1</v>
      </c>
      <c r="G15" s="163">
        <v>0</v>
      </c>
      <c r="H15" s="163">
        <v>1</v>
      </c>
      <c r="I15" s="160"/>
      <c r="J15" s="204"/>
      <c r="K15" s="202"/>
      <c r="L15" s="173" t="str">
        <f t="shared" si="0"/>
        <v>I_0_1 WL_2_1</v>
      </c>
      <c r="M15" s="177" t="s">
        <v>263</v>
      </c>
    </row>
    <row r="16" spans="4:13" ht="58" x14ac:dyDescent="0.35">
      <c r="D16" s="122">
        <v>9</v>
      </c>
      <c r="E16" s="163">
        <v>1</v>
      </c>
      <c r="F16" s="163">
        <v>2</v>
      </c>
      <c r="G16" s="163">
        <v>0</v>
      </c>
      <c r="H16" s="163">
        <v>1</v>
      </c>
      <c r="I16" s="160"/>
      <c r="J16" s="204"/>
      <c r="K16" s="202"/>
      <c r="L16" s="173" t="str">
        <f t="shared" si="0"/>
        <v>I_0_1 WL_1_2</v>
      </c>
      <c r="M16" s="177" t="s">
        <v>264</v>
      </c>
    </row>
    <row r="17" spans="4:13" ht="58" x14ac:dyDescent="0.35">
      <c r="D17" s="122">
        <v>10</v>
      </c>
      <c r="E17" s="163">
        <v>1</v>
      </c>
      <c r="F17" s="163">
        <v>1</v>
      </c>
      <c r="G17" s="163">
        <v>1</v>
      </c>
      <c r="H17" s="163">
        <v>1</v>
      </c>
      <c r="I17" s="165"/>
      <c r="J17" s="203" t="s">
        <v>253</v>
      </c>
      <c r="K17" s="203" t="s">
        <v>250</v>
      </c>
      <c r="L17" s="173" t="str">
        <f t="shared" si="0"/>
        <v>I_1_1 WL_1_1</v>
      </c>
      <c r="M17" s="177" t="s">
        <v>265</v>
      </c>
    </row>
    <row r="18" spans="4:13" ht="72.5" x14ac:dyDescent="0.35">
      <c r="D18" s="122">
        <v>11</v>
      </c>
      <c r="E18" s="163">
        <v>2</v>
      </c>
      <c r="F18" s="163">
        <v>1</v>
      </c>
      <c r="G18" s="163">
        <v>1</v>
      </c>
      <c r="H18" s="163">
        <v>1</v>
      </c>
      <c r="I18" s="165"/>
      <c r="J18" s="203" t="s">
        <v>0</v>
      </c>
      <c r="K18" s="203"/>
      <c r="L18" s="173" t="str">
        <f t="shared" si="0"/>
        <v>I_1_1 WL_2_1</v>
      </c>
      <c r="M18" s="177" t="s">
        <v>266</v>
      </c>
    </row>
    <row r="19" spans="4:13" ht="72.5" x14ac:dyDescent="0.35">
      <c r="D19" s="122">
        <v>12</v>
      </c>
      <c r="E19" s="163">
        <v>1</v>
      </c>
      <c r="F19" s="163">
        <v>2</v>
      </c>
      <c r="G19" s="163">
        <v>1</v>
      </c>
      <c r="H19" s="163">
        <v>1</v>
      </c>
      <c r="I19" s="167"/>
      <c r="J19" s="203" t="s">
        <v>0</v>
      </c>
      <c r="K19" s="203"/>
      <c r="L19" s="173" t="str">
        <f t="shared" si="0"/>
        <v>I_1_1 WL_1_2</v>
      </c>
      <c r="M19" s="177" t="s">
        <v>267</v>
      </c>
    </row>
    <row r="22" spans="4:13" x14ac:dyDescent="0.35">
      <c r="K22" s="154"/>
    </row>
    <row r="23" spans="4:13" ht="29" x14ac:dyDescent="0.35">
      <c r="D23" s="164" t="s">
        <v>244</v>
      </c>
      <c r="E23" s="164" t="s">
        <v>211</v>
      </c>
      <c r="F23" s="164" t="s">
        <v>212</v>
      </c>
      <c r="G23" s="164" t="s">
        <v>269</v>
      </c>
      <c r="H23" s="164" t="s">
        <v>73</v>
      </c>
      <c r="I23" s="164" t="s">
        <v>254</v>
      </c>
      <c r="J23" s="164" t="s">
        <v>243</v>
      </c>
      <c r="K23" s="164" t="s">
        <v>268</v>
      </c>
      <c r="L23"/>
    </row>
    <row r="24" spans="4:13" x14ac:dyDescent="0.35">
      <c r="D24" s="92">
        <v>1</v>
      </c>
      <c r="E24" s="92">
        <v>2</v>
      </c>
      <c r="F24" s="92">
        <v>2</v>
      </c>
      <c r="G24" s="92">
        <f t="shared" ref="G24:G35" si="1">SUM(E24:F24)</f>
        <v>4</v>
      </c>
      <c r="H24" s="92" t="s">
        <v>66</v>
      </c>
      <c r="I24" s="92" t="s">
        <v>66</v>
      </c>
      <c r="J24" s="92"/>
      <c r="K24" s="178" t="s">
        <v>248</v>
      </c>
      <c r="L24"/>
    </row>
    <row r="25" spans="4:13" x14ac:dyDescent="0.35">
      <c r="D25" s="92">
        <v>2</v>
      </c>
      <c r="E25" s="92">
        <v>2</v>
      </c>
      <c r="F25" s="92">
        <v>1</v>
      </c>
      <c r="G25" s="92">
        <f t="shared" si="1"/>
        <v>3</v>
      </c>
      <c r="H25" s="92" t="s">
        <v>66</v>
      </c>
      <c r="I25" s="92" t="s">
        <v>66</v>
      </c>
      <c r="J25" s="92" t="s">
        <v>211</v>
      </c>
      <c r="K25" s="178" t="s">
        <v>257</v>
      </c>
      <c r="L25"/>
    </row>
    <row r="26" spans="4:13" x14ac:dyDescent="0.35">
      <c r="D26" s="92">
        <v>5</v>
      </c>
      <c r="E26" s="92">
        <v>2</v>
      </c>
      <c r="F26" s="92">
        <v>1</v>
      </c>
      <c r="G26" s="92">
        <f t="shared" si="1"/>
        <v>3</v>
      </c>
      <c r="H26" s="92">
        <v>1</v>
      </c>
      <c r="I26" s="92" t="s">
        <v>66</v>
      </c>
      <c r="J26" s="92"/>
      <c r="K26" s="178" t="s">
        <v>260</v>
      </c>
      <c r="L26"/>
    </row>
    <row r="27" spans="4:13" x14ac:dyDescent="0.35">
      <c r="D27" s="92">
        <v>8</v>
      </c>
      <c r="E27" s="92">
        <v>2</v>
      </c>
      <c r="F27" s="92">
        <v>1</v>
      </c>
      <c r="G27" s="92">
        <f t="shared" si="1"/>
        <v>3</v>
      </c>
      <c r="H27" s="92" t="s">
        <v>66</v>
      </c>
      <c r="I27" s="92">
        <v>1</v>
      </c>
      <c r="J27" s="92"/>
      <c r="K27" s="178" t="s">
        <v>263</v>
      </c>
      <c r="L27"/>
    </row>
    <row r="28" spans="4:13" x14ac:dyDescent="0.35">
      <c r="D28" s="92">
        <v>11</v>
      </c>
      <c r="E28" s="92">
        <v>2</v>
      </c>
      <c r="F28" s="92">
        <v>1</v>
      </c>
      <c r="G28" s="92">
        <f t="shared" si="1"/>
        <v>3</v>
      </c>
      <c r="H28" s="92">
        <v>1</v>
      </c>
      <c r="I28" s="92">
        <v>1</v>
      </c>
      <c r="J28" s="92"/>
      <c r="K28" s="178" t="s">
        <v>266</v>
      </c>
      <c r="L28"/>
    </row>
    <row r="29" spans="4:13" x14ac:dyDescent="0.35">
      <c r="D29" s="92">
        <v>3</v>
      </c>
      <c r="E29" s="92">
        <v>1</v>
      </c>
      <c r="F29" s="92">
        <v>2</v>
      </c>
      <c r="G29" s="92">
        <f t="shared" si="1"/>
        <v>3</v>
      </c>
      <c r="H29" s="92" t="s">
        <v>66</v>
      </c>
      <c r="I29" s="92" t="s">
        <v>66</v>
      </c>
      <c r="J29" s="92" t="s">
        <v>212</v>
      </c>
      <c r="K29" s="178" t="s">
        <v>256</v>
      </c>
      <c r="L29"/>
    </row>
    <row r="30" spans="4:13" x14ac:dyDescent="0.35">
      <c r="D30" s="92">
        <v>6</v>
      </c>
      <c r="E30" s="92">
        <v>1</v>
      </c>
      <c r="F30" s="92">
        <v>2</v>
      </c>
      <c r="G30" s="92">
        <f t="shared" si="1"/>
        <v>3</v>
      </c>
      <c r="H30" s="92">
        <v>1</v>
      </c>
      <c r="I30" s="92" t="s">
        <v>66</v>
      </c>
      <c r="J30" s="92"/>
      <c r="K30" s="178" t="s">
        <v>261</v>
      </c>
      <c r="L30"/>
    </row>
    <row r="31" spans="4:13" x14ac:dyDescent="0.35">
      <c r="D31" s="92">
        <v>9</v>
      </c>
      <c r="E31" s="92">
        <v>1</v>
      </c>
      <c r="F31" s="92">
        <v>2</v>
      </c>
      <c r="G31" s="92">
        <f t="shared" si="1"/>
        <v>3</v>
      </c>
      <c r="H31" s="92" t="s">
        <v>66</v>
      </c>
      <c r="I31" s="92">
        <v>1</v>
      </c>
      <c r="J31" s="92"/>
      <c r="K31" s="178" t="s">
        <v>264</v>
      </c>
      <c r="L31"/>
    </row>
    <row r="32" spans="4:13" x14ac:dyDescent="0.35">
      <c r="D32" s="92">
        <v>12</v>
      </c>
      <c r="E32" s="92">
        <v>1</v>
      </c>
      <c r="F32" s="92">
        <v>2</v>
      </c>
      <c r="G32" s="92">
        <f t="shared" si="1"/>
        <v>3</v>
      </c>
      <c r="H32" s="92">
        <v>1</v>
      </c>
      <c r="I32" s="92">
        <v>1</v>
      </c>
      <c r="J32" s="92"/>
      <c r="K32" s="178" t="s">
        <v>267</v>
      </c>
      <c r="L32"/>
    </row>
    <row r="33" spans="4:12" x14ac:dyDescent="0.35">
      <c r="D33" s="92">
        <v>4</v>
      </c>
      <c r="E33" s="92">
        <v>1</v>
      </c>
      <c r="F33" s="92">
        <v>1</v>
      </c>
      <c r="G33" s="92">
        <f t="shared" si="1"/>
        <v>2</v>
      </c>
      <c r="H33" s="92">
        <v>1</v>
      </c>
      <c r="I33" s="92" t="s">
        <v>66</v>
      </c>
      <c r="J33" s="92"/>
      <c r="K33" s="178" t="s">
        <v>259</v>
      </c>
      <c r="L33"/>
    </row>
    <row r="34" spans="4:12" x14ac:dyDescent="0.35">
      <c r="D34" s="92">
        <v>7</v>
      </c>
      <c r="E34" s="92">
        <v>1</v>
      </c>
      <c r="F34" s="92">
        <v>1</v>
      </c>
      <c r="G34" s="92">
        <f t="shared" si="1"/>
        <v>2</v>
      </c>
      <c r="H34" s="92" t="s">
        <v>66</v>
      </c>
      <c r="I34" s="92">
        <v>1</v>
      </c>
      <c r="J34" s="92"/>
      <c r="K34" s="178" t="s">
        <v>262</v>
      </c>
      <c r="L34"/>
    </row>
    <row r="35" spans="4:12" x14ac:dyDescent="0.35">
      <c r="D35" s="92">
        <v>10</v>
      </c>
      <c r="E35" s="92">
        <v>1</v>
      </c>
      <c r="F35" s="92">
        <v>1</v>
      </c>
      <c r="G35" s="92">
        <f t="shared" si="1"/>
        <v>2</v>
      </c>
      <c r="H35" s="92">
        <v>1</v>
      </c>
      <c r="I35" s="92">
        <v>1</v>
      </c>
      <c r="J35" s="92"/>
      <c r="K35" s="178" t="s">
        <v>265</v>
      </c>
      <c r="L35"/>
    </row>
  </sheetData>
  <autoFilter ref="D23:M32" xr:uid="{5BEAA1E9-7F8D-47A5-9FEF-4599217252F5}">
    <sortState xmlns:xlrd2="http://schemas.microsoft.com/office/spreadsheetml/2017/richdata2" ref="D24:M35">
      <sortCondition descending="1" ref="E23:E32"/>
    </sortState>
  </autoFilter>
  <mergeCells count="7">
    <mergeCell ref="K9:K10"/>
    <mergeCell ref="K11:K13"/>
    <mergeCell ref="J17:J19"/>
    <mergeCell ref="K17:K19"/>
    <mergeCell ref="J11:J13"/>
    <mergeCell ref="K14:K16"/>
    <mergeCell ref="J14:J1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7A670-5AC0-4E70-A384-80840E9F0DEE}">
  <sheetPr codeName="Sheet23"/>
  <dimension ref="E4:S38"/>
  <sheetViews>
    <sheetView zoomScale="145" zoomScaleNormal="145" workbookViewId="0">
      <selection activeCell="I22" sqref="I22"/>
    </sheetView>
  </sheetViews>
  <sheetFormatPr defaultRowHeight="13" x14ac:dyDescent="0.3"/>
  <cols>
    <col min="1" max="10" width="8.7265625" style="45"/>
    <col min="11" max="11" width="14.26953125" style="45" bestFit="1" customWidth="1"/>
    <col min="12" max="12" width="10.453125" style="45" bestFit="1" customWidth="1"/>
    <col min="13" max="15" width="10.08984375" style="45" bestFit="1" customWidth="1"/>
    <col min="16" max="18" width="11.453125" style="45" bestFit="1" customWidth="1"/>
    <col min="19" max="16384" width="8.7265625" style="45"/>
  </cols>
  <sheetData>
    <row r="4" spans="5:19" x14ac:dyDescent="0.3">
      <c r="J4" s="53"/>
      <c r="K4" s="53"/>
    </row>
    <row r="5" spans="5:19" x14ac:dyDescent="0.3">
      <c r="J5" s="52"/>
      <c r="K5" s="52"/>
    </row>
    <row r="6" spans="5:19" ht="26" x14ac:dyDescent="0.3">
      <c r="E6" s="45" t="s">
        <v>117</v>
      </c>
      <c r="J6" s="53"/>
      <c r="K6" s="52" t="s">
        <v>116</v>
      </c>
      <c r="L6" s="51" t="str">
        <f t="shared" ref="L6:R6" si="0">"F_"&amp;L7&amp;" m EL, "&amp;CHAR(10)&amp;ROUND(L21,0)&amp;" MW"</f>
        <v>F_265 m EL, 
41 MW</v>
      </c>
      <c r="M6" s="51" t="str">
        <f t="shared" si="0"/>
        <v>F_275 m EL, 
67 MW</v>
      </c>
      <c r="N6" s="51" t="str">
        <f t="shared" si="0"/>
        <v>F_285 m EL, 
100 MW</v>
      </c>
      <c r="O6" s="51" t="str">
        <f t="shared" si="0"/>
        <v>F_295 m EL, 
145 MW</v>
      </c>
      <c r="P6" s="51" t="str">
        <f t="shared" si="0"/>
        <v>F_305 m EL, 
196 MW</v>
      </c>
      <c r="Q6" s="51" t="str">
        <f t="shared" si="0"/>
        <v>F_315 m EL, 
246 MW</v>
      </c>
      <c r="R6" s="51" t="str">
        <f t="shared" si="0"/>
        <v>F_325 m EL, 
299 MW</v>
      </c>
    </row>
    <row r="7" spans="5:19" x14ac:dyDescent="0.3">
      <c r="K7" s="49" t="s">
        <v>115</v>
      </c>
      <c r="L7" s="45">
        <v>265</v>
      </c>
      <c r="M7" s="45">
        <v>275</v>
      </c>
      <c r="N7" s="45">
        <v>285</v>
      </c>
      <c r="O7" s="45">
        <v>295</v>
      </c>
      <c r="P7" s="45">
        <v>305</v>
      </c>
      <c r="Q7" s="45">
        <v>315</v>
      </c>
      <c r="R7" s="45">
        <v>325</v>
      </c>
    </row>
    <row r="8" spans="5:19" x14ac:dyDescent="0.3">
      <c r="E8" s="45" t="s">
        <v>5</v>
      </c>
      <c r="F8" s="45">
        <v>275</v>
      </c>
      <c r="J8" s="48">
        <v>2</v>
      </c>
      <c r="K8" s="49" t="s">
        <v>5</v>
      </c>
      <c r="L8" s="45">
        <f t="shared" ref="L8:R8" si="1">L7-$J$8</f>
        <v>263</v>
      </c>
      <c r="M8" s="45">
        <f t="shared" si="1"/>
        <v>273</v>
      </c>
      <c r="N8" s="45">
        <f t="shared" si="1"/>
        <v>283</v>
      </c>
      <c r="O8" s="45">
        <f t="shared" si="1"/>
        <v>293</v>
      </c>
      <c r="P8" s="45">
        <f t="shared" si="1"/>
        <v>303</v>
      </c>
      <c r="Q8" s="45">
        <f t="shared" si="1"/>
        <v>313</v>
      </c>
      <c r="R8" s="45">
        <f t="shared" si="1"/>
        <v>323</v>
      </c>
    </row>
    <row r="9" spans="5:19" x14ac:dyDescent="0.3">
      <c r="E9" s="45" t="s">
        <v>7</v>
      </c>
      <c r="F9" s="45">
        <v>250</v>
      </c>
      <c r="J9" s="48">
        <v>20</v>
      </c>
      <c r="K9" s="49" t="s">
        <v>7</v>
      </c>
      <c r="L9" s="45">
        <f t="shared" ref="L9:R9" si="2">L8-$J$9</f>
        <v>243</v>
      </c>
      <c r="M9" s="45">
        <f t="shared" si="2"/>
        <v>253</v>
      </c>
      <c r="N9" s="45">
        <f t="shared" si="2"/>
        <v>263</v>
      </c>
      <c r="O9" s="45">
        <f t="shared" si="2"/>
        <v>273</v>
      </c>
      <c r="P9" s="45">
        <f t="shared" si="2"/>
        <v>283</v>
      </c>
      <c r="Q9" s="45">
        <f t="shared" si="2"/>
        <v>293</v>
      </c>
      <c r="R9" s="45">
        <f t="shared" si="2"/>
        <v>303</v>
      </c>
    </row>
    <row r="10" spans="5:19" x14ac:dyDescent="0.3">
      <c r="E10" s="45" t="s">
        <v>13</v>
      </c>
      <c r="F10" s="45">
        <v>140</v>
      </c>
      <c r="K10" s="49" t="s">
        <v>13</v>
      </c>
      <c r="L10" s="45">
        <v>135</v>
      </c>
      <c r="M10" s="45">
        <v>135</v>
      </c>
      <c r="N10" s="45">
        <v>135</v>
      </c>
      <c r="O10" s="45">
        <v>135</v>
      </c>
      <c r="P10" s="45">
        <v>135</v>
      </c>
      <c r="Q10" s="45">
        <v>135</v>
      </c>
      <c r="R10" s="45">
        <v>135</v>
      </c>
    </row>
    <row r="11" spans="5:19" x14ac:dyDescent="0.3">
      <c r="E11" s="45" t="s">
        <v>14</v>
      </c>
      <c r="F11" s="45">
        <v>125</v>
      </c>
      <c r="K11" s="49" t="s">
        <v>14</v>
      </c>
      <c r="L11" s="45">
        <v>115</v>
      </c>
      <c r="M11" s="45">
        <v>115</v>
      </c>
      <c r="N11" s="45">
        <v>115</v>
      </c>
      <c r="O11" s="45">
        <v>115</v>
      </c>
      <c r="P11" s="45">
        <v>115</v>
      </c>
      <c r="Q11" s="45">
        <v>115</v>
      </c>
      <c r="R11" s="45">
        <v>115</v>
      </c>
    </row>
    <row r="12" spans="5:19" x14ac:dyDescent="0.3">
      <c r="K12" s="49" t="s">
        <v>95</v>
      </c>
      <c r="L12" s="45">
        <f t="shared" ref="L12:R12" si="3">L8-L11</f>
        <v>148</v>
      </c>
      <c r="M12" s="45">
        <f t="shared" si="3"/>
        <v>158</v>
      </c>
      <c r="N12" s="45">
        <f t="shared" si="3"/>
        <v>168</v>
      </c>
      <c r="O12" s="45">
        <f t="shared" si="3"/>
        <v>178</v>
      </c>
      <c r="P12" s="45">
        <f t="shared" si="3"/>
        <v>188</v>
      </c>
      <c r="Q12" s="45">
        <f t="shared" si="3"/>
        <v>198</v>
      </c>
      <c r="R12" s="45">
        <f t="shared" si="3"/>
        <v>208</v>
      </c>
    </row>
    <row r="13" spans="5:19" x14ac:dyDescent="0.3">
      <c r="E13" s="45" t="s">
        <v>95</v>
      </c>
      <c r="F13" s="45">
        <f>F8-F11</f>
        <v>150</v>
      </c>
      <c r="K13" s="49" t="s">
        <v>96</v>
      </c>
      <c r="L13" s="45">
        <f t="shared" ref="L13:R13" si="4">L9-L10</f>
        <v>108</v>
      </c>
      <c r="M13" s="45">
        <f t="shared" si="4"/>
        <v>118</v>
      </c>
      <c r="N13" s="45">
        <f t="shared" si="4"/>
        <v>128</v>
      </c>
      <c r="O13" s="45">
        <f t="shared" si="4"/>
        <v>138</v>
      </c>
      <c r="P13" s="45">
        <f t="shared" si="4"/>
        <v>148</v>
      </c>
      <c r="Q13" s="45">
        <f t="shared" si="4"/>
        <v>158</v>
      </c>
      <c r="R13" s="45">
        <f t="shared" si="4"/>
        <v>168</v>
      </c>
      <c r="S13" s="48"/>
    </row>
    <row r="14" spans="5:19" x14ac:dyDescent="0.3">
      <c r="E14" s="45" t="s">
        <v>96</v>
      </c>
      <c r="F14" s="45">
        <f>F9-F11</f>
        <v>125</v>
      </c>
      <c r="K14" s="49" t="s">
        <v>114</v>
      </c>
      <c r="L14" s="45">
        <f t="shared" ref="L14:R14" si="5">AVERAGE(L12,L13)</f>
        <v>128</v>
      </c>
      <c r="M14" s="45">
        <f t="shared" si="5"/>
        <v>138</v>
      </c>
      <c r="N14" s="45">
        <f t="shared" si="5"/>
        <v>148</v>
      </c>
      <c r="O14" s="45">
        <f t="shared" si="5"/>
        <v>158</v>
      </c>
      <c r="P14" s="45">
        <f t="shared" si="5"/>
        <v>168</v>
      </c>
      <c r="Q14" s="45">
        <f t="shared" si="5"/>
        <v>178</v>
      </c>
      <c r="R14" s="45">
        <f t="shared" si="5"/>
        <v>188</v>
      </c>
      <c r="S14" s="48"/>
    </row>
    <row r="15" spans="5:19" x14ac:dyDescent="0.3">
      <c r="E15" s="45" t="s">
        <v>114</v>
      </c>
      <c r="F15" s="45">
        <f>AVERAGE(F13:F14)</f>
        <v>137.5</v>
      </c>
      <c r="K15" s="49" t="s">
        <v>1</v>
      </c>
      <c r="L15" s="50">
        <f t="shared" ref="L15:R15" si="6">L14*5%</f>
        <v>6.4</v>
      </c>
      <c r="M15" s="50">
        <f t="shared" si="6"/>
        <v>6.9</v>
      </c>
      <c r="N15" s="50">
        <f t="shared" si="6"/>
        <v>7.4</v>
      </c>
      <c r="O15" s="50">
        <f t="shared" si="6"/>
        <v>7.9</v>
      </c>
      <c r="P15" s="50">
        <f t="shared" si="6"/>
        <v>8.4</v>
      </c>
      <c r="Q15" s="50">
        <f t="shared" si="6"/>
        <v>8.9</v>
      </c>
      <c r="R15" s="50">
        <f t="shared" si="6"/>
        <v>9.4</v>
      </c>
      <c r="S15" s="48"/>
    </row>
    <row r="16" spans="5:19" x14ac:dyDescent="0.3">
      <c r="E16" s="45" t="s">
        <v>113</v>
      </c>
      <c r="F16" s="45">
        <f>F13/F14</f>
        <v>1.2</v>
      </c>
      <c r="K16" s="49" t="s">
        <v>112</v>
      </c>
      <c r="L16" s="48" cm="1">
        <f t="array" ref="L16">JKJInterpolate(L8,'Res Vol'!$E$5:$E$32,'Res Vol'!$G$5:$G$32,-1)</f>
        <v>1414597.4088564001</v>
      </c>
      <c r="M16" s="48" cm="1">
        <f t="array" ref="M16">JKJInterpolate(M8,'Res Vol'!$E$5:$E$32,'Res Vol'!$G$5:$G$32,-1)</f>
        <v>2394630.1935151997</v>
      </c>
      <c r="N16" s="48" cm="1">
        <f t="array" ref="N16">JKJInterpolate(N8,'Res Vol'!$E$5:$E$32,'Res Vol'!$G$5:$G$32,-1)</f>
        <v>3758604.9545221999</v>
      </c>
      <c r="O16" s="48" cm="1">
        <f t="array" ref="O16">JKJInterpolate(O8,'Res Vol'!$E$5:$E$32,'Res Vol'!$G$5:$G$32,-1)</f>
        <v>5560209.2210192</v>
      </c>
      <c r="P16" s="48" cm="1">
        <f t="array" ref="P16">JKJInterpolate(P8,'Res Vol'!$E$5:$E$32,'Res Vol'!$G$5:$G$32,-1)</f>
        <v>7790435.2079151999</v>
      </c>
      <c r="Q16" s="48" cm="1">
        <f t="array" ref="Q16">JKJInterpolate(Q8,'Res Vol'!$E$5:$E$32,'Res Vol'!$G$5:$G$32,-1)</f>
        <v>10340855.0374476</v>
      </c>
      <c r="R16" s="48" cm="1">
        <f t="array" ref="R16">JKJInterpolate(R8,'Res Vol'!$E$5:$E$32,'Res Vol'!$G$5:$G$32,-1)</f>
        <v>13289457.170933399</v>
      </c>
      <c r="S16" s="48"/>
    </row>
    <row r="17" spans="5:19" x14ac:dyDescent="0.3">
      <c r="K17" s="49" t="s">
        <v>111</v>
      </c>
      <c r="L17" s="48" cm="1">
        <f t="array" ref="L17">JKJInterpolate(L9,'Res Vol'!$E$5:$E$32,'Res Vol'!$G$5:$G$32,-1)</f>
        <v>299252.95527939999</v>
      </c>
      <c r="M17" s="48" cm="1">
        <f t="array" ref="M17">JKJInterpolate(M9,'Res Vol'!$E$5:$E$32,'Res Vol'!$G$5:$G$32,-1)</f>
        <v>716446.18958739995</v>
      </c>
      <c r="N17" s="48" cm="1">
        <f t="array" ref="N17">JKJInterpolate(N9,'Res Vol'!$E$5:$E$32,'Res Vol'!$G$5:$G$32,-1)</f>
        <v>1414597.4088564001</v>
      </c>
      <c r="O17" s="48" cm="1">
        <f t="array" ref="O17">JKJInterpolate(O9,'Res Vol'!$E$5:$E$32,'Res Vol'!$G$5:$G$32,-1)</f>
        <v>2394630.1935151997</v>
      </c>
      <c r="P17" s="48" cm="1">
        <f t="array" ref="P17">JKJInterpolate(P9,'Res Vol'!$E$5:$E$32,'Res Vol'!$G$5:$G$32,-1)</f>
        <v>3758604.9545221999</v>
      </c>
      <c r="Q17" s="48" cm="1">
        <f t="array" ref="Q17">JKJInterpolate(Q9,'Res Vol'!$E$5:$E$32,'Res Vol'!$G$5:$G$32,-1)</f>
        <v>5560209.2210192</v>
      </c>
      <c r="R17" s="48" cm="1">
        <f t="array" ref="R17">JKJInterpolate(R9,'Res Vol'!$E$5:$E$32,'Res Vol'!$G$5:$G$32,-1)</f>
        <v>7790435.2079151999</v>
      </c>
      <c r="S17" s="48"/>
    </row>
    <row r="18" spans="5:19" x14ac:dyDescent="0.3">
      <c r="E18" s="45" t="s">
        <v>0</v>
      </c>
      <c r="F18" s="45">
        <v>80</v>
      </c>
      <c r="G18" s="45" t="s">
        <v>17</v>
      </c>
      <c r="K18" s="49" t="s">
        <v>110</v>
      </c>
      <c r="L18" s="48">
        <f t="shared" ref="L18:R18" si="7">L16-L17</f>
        <v>1115344.4535770002</v>
      </c>
      <c r="M18" s="48">
        <f t="shared" si="7"/>
        <v>1678184.0039277999</v>
      </c>
      <c r="N18" s="48">
        <f t="shared" si="7"/>
        <v>2344007.5456657996</v>
      </c>
      <c r="O18" s="48">
        <f t="shared" si="7"/>
        <v>3165579.0275040003</v>
      </c>
      <c r="P18" s="48">
        <f t="shared" si="7"/>
        <v>4031830.253393</v>
      </c>
      <c r="Q18" s="48">
        <f t="shared" si="7"/>
        <v>4780645.8164283996</v>
      </c>
      <c r="R18" s="48">
        <f t="shared" si="7"/>
        <v>5499021.9630181994</v>
      </c>
      <c r="S18" s="48"/>
    </row>
    <row r="19" spans="5:19" x14ac:dyDescent="0.3">
      <c r="E19" s="45" t="s">
        <v>67</v>
      </c>
      <c r="F19" s="45">
        <f>F18*1000/(F15*9.81*0.85)</f>
        <v>69.774921366934322</v>
      </c>
      <c r="G19" s="45" t="s">
        <v>26</v>
      </c>
      <c r="J19" s="45">
        <v>8</v>
      </c>
      <c r="K19" s="49" t="s">
        <v>74</v>
      </c>
      <c r="L19" s="48">
        <f t="shared" ref="L19:R19" si="8">L18/3600/$J$19</f>
        <v>38.727237971423619</v>
      </c>
      <c r="M19" s="48">
        <f t="shared" si="8"/>
        <v>58.27027791415972</v>
      </c>
      <c r="N19" s="48">
        <f t="shared" si="8"/>
        <v>81.3891508911736</v>
      </c>
      <c r="O19" s="48">
        <f t="shared" si="8"/>
        <v>109.91593845500002</v>
      </c>
      <c r="P19" s="48">
        <f t="shared" si="8"/>
        <v>139.99410602059027</v>
      </c>
      <c r="Q19" s="48">
        <f t="shared" si="8"/>
        <v>165.99464640376388</v>
      </c>
      <c r="R19" s="48">
        <f t="shared" si="8"/>
        <v>190.93826260479858</v>
      </c>
      <c r="S19" s="48"/>
    </row>
    <row r="20" spans="5:19" x14ac:dyDescent="0.3">
      <c r="E20" s="45" t="s">
        <v>75</v>
      </c>
      <c r="F20" s="45">
        <v>4.5</v>
      </c>
      <c r="K20" s="49" t="s">
        <v>109</v>
      </c>
      <c r="L20" s="48">
        <f t="shared" ref="L20:R20" si="9">L14-L15</f>
        <v>121.6</v>
      </c>
      <c r="M20" s="48">
        <f t="shared" si="9"/>
        <v>131.1</v>
      </c>
      <c r="N20" s="48">
        <f t="shared" si="9"/>
        <v>140.6</v>
      </c>
      <c r="O20" s="48">
        <f t="shared" si="9"/>
        <v>150.1</v>
      </c>
      <c r="P20" s="48">
        <f t="shared" si="9"/>
        <v>159.6</v>
      </c>
      <c r="Q20" s="48">
        <f t="shared" si="9"/>
        <v>169.1</v>
      </c>
      <c r="R20" s="48">
        <f t="shared" si="9"/>
        <v>178.6</v>
      </c>
      <c r="S20" s="48"/>
    </row>
    <row r="21" spans="5:19" x14ac:dyDescent="0.3">
      <c r="E21" s="45" t="s">
        <v>108</v>
      </c>
      <c r="F21" s="45">
        <f>SQRT(4*(F19/F20)/PI())</f>
        <v>4.4432267832978027</v>
      </c>
      <c r="K21" s="49" t="s">
        <v>0</v>
      </c>
      <c r="L21" s="45">
        <f t="shared" ref="L21:R21" si="10">L19*L14*9.81*0.85/1000</f>
        <v>41.33466544956363</v>
      </c>
      <c r="M21" s="45">
        <f t="shared" si="10"/>
        <v>67.052366309436479</v>
      </c>
      <c r="N21" s="45">
        <f t="shared" si="10"/>
        <v>100.44218833649558</v>
      </c>
      <c r="O21" s="45">
        <f t="shared" si="10"/>
        <v>144.81238034350878</v>
      </c>
      <c r="P21" s="45">
        <f t="shared" si="10"/>
        <v>196.11326331285224</v>
      </c>
      <c r="Q21" s="45">
        <f t="shared" si="10"/>
        <v>246.37805190872578</v>
      </c>
      <c r="R21" s="45">
        <f t="shared" si="10"/>
        <v>299.32207611326129</v>
      </c>
      <c r="S21" s="48"/>
    </row>
    <row r="22" spans="5:19" x14ac:dyDescent="0.3">
      <c r="E22" s="45" t="s">
        <v>107</v>
      </c>
      <c r="F22" s="45">
        <v>3</v>
      </c>
      <c r="S22" s="48"/>
    </row>
    <row r="23" spans="5:19" x14ac:dyDescent="0.3">
      <c r="E23" s="45" t="s">
        <v>67</v>
      </c>
      <c r="F23" s="45">
        <f>F19/F22</f>
        <v>23.258307122311439</v>
      </c>
      <c r="K23" s="45" t="s">
        <v>106</v>
      </c>
      <c r="L23" s="50">
        <f t="shared" ref="L23:R23" si="11">L12/L13</f>
        <v>1.3703703703703705</v>
      </c>
      <c r="M23" s="50">
        <f t="shared" si="11"/>
        <v>1.3389830508474576</v>
      </c>
      <c r="N23" s="50">
        <f t="shared" si="11"/>
        <v>1.3125</v>
      </c>
      <c r="O23" s="50">
        <f t="shared" si="11"/>
        <v>1.2898550724637681</v>
      </c>
      <c r="P23" s="50">
        <f t="shared" si="11"/>
        <v>1.2702702702702702</v>
      </c>
      <c r="Q23" s="50">
        <f t="shared" si="11"/>
        <v>1.2531645569620253</v>
      </c>
      <c r="R23" s="50">
        <f t="shared" si="11"/>
        <v>1.2380952380952381</v>
      </c>
      <c r="S23" s="48"/>
    </row>
    <row r="24" spans="5:19" x14ac:dyDescent="0.3">
      <c r="S24" s="48"/>
    </row>
    <row r="25" spans="5:19" x14ac:dyDescent="0.3">
      <c r="E25" s="45" t="s">
        <v>70</v>
      </c>
      <c r="F25" s="45">
        <f>F23/F20</f>
        <v>5.1685126938469867</v>
      </c>
      <c r="S25" s="48"/>
    </row>
    <row r="26" spans="5:19" x14ac:dyDescent="0.3">
      <c r="E26" s="45" t="s">
        <v>94</v>
      </c>
      <c r="F26" s="45">
        <f>SQRT(4*F25/PI())</f>
        <v>2.5652981794075416</v>
      </c>
      <c r="K26" s="49" t="s">
        <v>105</v>
      </c>
      <c r="L26" s="48" cm="1">
        <f t="array" ref="L26">JKJInterpolate(L7,'Dam VOl'!$F$3:$F$11,'Dam VOl'!$D$3:$D$11,-1)</f>
        <v>14345.513342</v>
      </c>
      <c r="M26" s="48" cm="1">
        <f t="array" ref="M26">JKJInterpolate(M7,'Dam VOl'!$F$3:$F$11,'Dam VOl'!$D$3:$D$11,-1)</f>
        <v>56908.653401000003</v>
      </c>
      <c r="N26" s="48" cm="1">
        <f t="array" ref="N26">JKJInterpolate(N7,'Dam VOl'!$F$3:$F$11,'Dam VOl'!$D$3:$D$11,-1)</f>
        <v>142160.06714100001</v>
      </c>
      <c r="O26" s="48" cm="1">
        <f t="array" ref="O26">JKJInterpolate(O7,'Dam VOl'!$F$3:$F$11,'Dam VOl'!$D$3:$D$11,-1)</f>
        <v>289534.590486</v>
      </c>
      <c r="P26" s="48" cm="1">
        <f t="array" ref="P26">JKJInterpolate(P7,'Dam VOl'!$F$3:$F$11,'Dam VOl'!$D$3:$D$11,-1)</f>
        <v>514019.77745599998</v>
      </c>
      <c r="Q26" s="48" cm="1">
        <f t="array" ref="Q26">JKJInterpolate(Q7,'Dam VOl'!$F$3:$F$11,'Dam VOl'!$D$3:$D$11,-1)</f>
        <v>828646.49299299996</v>
      </c>
      <c r="R26" s="48" cm="1">
        <f t="array" ref="R26">JKJInterpolate(R7,'Dam VOl'!$F$3:$F$11,'Dam VOl'!$D$3:$D$11,-1)</f>
        <v>1251548.389857</v>
      </c>
      <c r="S26" s="48"/>
    </row>
    <row r="27" spans="5:19" x14ac:dyDescent="0.3">
      <c r="J27" s="45">
        <v>5</v>
      </c>
      <c r="K27" s="49" t="s">
        <v>104</v>
      </c>
      <c r="L27" s="45">
        <f t="shared" ref="L27:R27" si="12">SQRT(4*L19/$J$27/PI())</f>
        <v>3.1403519179730708</v>
      </c>
      <c r="M27" s="45">
        <f t="shared" si="12"/>
        <v>3.8520649559169202</v>
      </c>
      <c r="N27" s="45">
        <f t="shared" si="12"/>
        <v>4.5525352371411545</v>
      </c>
      <c r="O27" s="45">
        <f t="shared" si="12"/>
        <v>5.2905447628308071</v>
      </c>
      <c r="P27" s="45">
        <f t="shared" si="12"/>
        <v>5.9706956347692426</v>
      </c>
      <c r="Q27" s="45">
        <f t="shared" si="12"/>
        <v>6.5015528609033497</v>
      </c>
      <c r="R27" s="45">
        <f t="shared" si="12"/>
        <v>6.972949828465091</v>
      </c>
      <c r="S27" s="48"/>
    </row>
    <row r="28" spans="5:19" x14ac:dyDescent="0.3">
      <c r="J28" s="45">
        <v>0.25</v>
      </c>
      <c r="K28" s="45" t="s">
        <v>103</v>
      </c>
      <c r="L28" s="45">
        <f t="shared" ref="L28:R28" si="13">L27+2*$J$28</f>
        <v>3.6403519179730708</v>
      </c>
      <c r="M28" s="45">
        <f t="shared" si="13"/>
        <v>4.3520649559169202</v>
      </c>
      <c r="N28" s="45">
        <f t="shared" si="13"/>
        <v>5.0525352371411545</v>
      </c>
      <c r="O28" s="45">
        <f t="shared" si="13"/>
        <v>5.7905447628308071</v>
      </c>
      <c r="P28" s="45">
        <f t="shared" si="13"/>
        <v>6.4706956347692426</v>
      </c>
      <c r="Q28" s="45">
        <f t="shared" si="13"/>
        <v>7.0015528609033497</v>
      </c>
      <c r="R28" s="45">
        <f t="shared" si="13"/>
        <v>7.472949828465091</v>
      </c>
    </row>
    <row r="29" spans="5:19" x14ac:dyDescent="0.3">
      <c r="J29" s="45">
        <v>1400</v>
      </c>
      <c r="K29" s="45" t="s">
        <v>77</v>
      </c>
      <c r="L29" s="45">
        <f t="shared" ref="L29:R29" si="14">PI()*L28^2/4*$J$29</f>
        <v>14571.513269504507</v>
      </c>
      <c r="M29" s="45">
        <f t="shared" si="14"/>
        <v>20826.133811484578</v>
      </c>
      <c r="N29" s="45">
        <f t="shared" si="14"/>
        <v>28069.625546391675</v>
      </c>
      <c r="O29" s="45">
        <f t="shared" si="14"/>
        <v>36868.609920728144</v>
      </c>
      <c r="P29" s="45">
        <f t="shared" si="14"/>
        <v>46038.36178300847</v>
      </c>
      <c r="Q29" s="45">
        <f t="shared" si="14"/>
        <v>53902.221096901885</v>
      </c>
      <c r="R29" s="45">
        <f t="shared" si="14"/>
        <v>61404.761670767373</v>
      </c>
    </row>
    <row r="31" spans="5:19" x14ac:dyDescent="0.3">
      <c r="K31" s="45" t="s">
        <v>102</v>
      </c>
      <c r="L31" s="45">
        <f>SQRT(4*L19/2/$J$27/PI())</f>
        <v>2.220564136510939</v>
      </c>
      <c r="M31" s="45">
        <f>SQRT(4*M19/2/$J$27/PI())</f>
        <v>2.7238212518999139</v>
      </c>
      <c r="N31" s="45">
        <f>SQRT(4*N19/2/$J$27/PI())</f>
        <v>3.2191285377732175</v>
      </c>
    </row>
    <row r="32" spans="5:19" x14ac:dyDescent="0.3">
      <c r="J32" s="45">
        <v>110</v>
      </c>
      <c r="K32" s="45" t="s">
        <v>92</v>
      </c>
      <c r="L32" s="47">
        <f t="shared" ref="L32:R32" si="15">$J$32*L26</f>
        <v>1578006.46762</v>
      </c>
      <c r="M32" s="47">
        <f t="shared" si="15"/>
        <v>6259951.8741100002</v>
      </c>
      <c r="N32" s="47">
        <f t="shared" si="15"/>
        <v>15637607.385510001</v>
      </c>
      <c r="O32" s="47">
        <f t="shared" si="15"/>
        <v>31848804.95346</v>
      </c>
      <c r="P32" s="47">
        <f t="shared" si="15"/>
        <v>56542175.520159997</v>
      </c>
      <c r="Q32" s="47">
        <f t="shared" si="15"/>
        <v>91151114.229230002</v>
      </c>
      <c r="R32" s="47">
        <f t="shared" si="15"/>
        <v>137670322.88426998</v>
      </c>
    </row>
    <row r="33" spans="10:18" x14ac:dyDescent="0.3">
      <c r="J33" s="45">
        <v>1000</v>
      </c>
      <c r="K33" s="45" t="s">
        <v>79</v>
      </c>
      <c r="L33" s="47">
        <f t="shared" ref="L33:R33" si="16">L29*$J$33</f>
        <v>14571513.269504506</v>
      </c>
      <c r="M33" s="47">
        <f t="shared" si="16"/>
        <v>20826133.811484579</v>
      </c>
      <c r="N33" s="47">
        <f t="shared" si="16"/>
        <v>28069625.546391673</v>
      </c>
      <c r="O33" s="47">
        <f t="shared" si="16"/>
        <v>36868609.920728147</v>
      </c>
      <c r="P33" s="47">
        <f t="shared" si="16"/>
        <v>46038361.783008471</v>
      </c>
      <c r="Q33" s="47">
        <f t="shared" si="16"/>
        <v>53902221.096901886</v>
      </c>
      <c r="R33" s="47">
        <f t="shared" si="16"/>
        <v>61404761.670767374</v>
      </c>
    </row>
    <row r="34" spans="10:18" x14ac:dyDescent="0.3">
      <c r="J34" s="45">
        <v>800</v>
      </c>
      <c r="K34" s="45" t="s">
        <v>3</v>
      </c>
      <c r="L34" s="47">
        <f t="shared" ref="L34:R34" si="17">$J$34*L21*1000</f>
        <v>33067732.359650902</v>
      </c>
      <c r="M34" s="47">
        <f t="shared" si="17"/>
        <v>53641893.047549181</v>
      </c>
      <c r="N34" s="47">
        <f t="shared" si="17"/>
        <v>80353750.669196472</v>
      </c>
      <c r="O34" s="47">
        <f t="shared" si="17"/>
        <v>115849904.27480702</v>
      </c>
      <c r="P34" s="47">
        <f t="shared" si="17"/>
        <v>156890610.65028179</v>
      </c>
      <c r="Q34" s="47">
        <f t="shared" si="17"/>
        <v>197102441.52698064</v>
      </c>
      <c r="R34" s="47">
        <f t="shared" si="17"/>
        <v>239457660.89060903</v>
      </c>
    </row>
    <row r="35" spans="10:18" x14ac:dyDescent="0.3">
      <c r="J35" s="45">
        <v>100</v>
      </c>
      <c r="K35" s="45" t="s">
        <v>101</v>
      </c>
      <c r="L35" s="47">
        <f t="shared" ref="L35:R35" si="18">$J$35*L18</f>
        <v>111534445.35770002</v>
      </c>
      <c r="M35" s="47">
        <f t="shared" si="18"/>
        <v>167818400.39277998</v>
      </c>
      <c r="N35" s="47">
        <f t="shared" si="18"/>
        <v>234400754.56657997</v>
      </c>
      <c r="O35" s="47">
        <f t="shared" si="18"/>
        <v>316557902.75040001</v>
      </c>
      <c r="P35" s="47">
        <f t="shared" si="18"/>
        <v>403183025.33929998</v>
      </c>
      <c r="Q35" s="47">
        <f t="shared" si="18"/>
        <v>478064581.64283997</v>
      </c>
      <c r="R35" s="47">
        <f t="shared" si="18"/>
        <v>549902196.30181992</v>
      </c>
    </row>
    <row r="36" spans="10:18" x14ac:dyDescent="0.3">
      <c r="K36" s="45" t="s">
        <v>71</v>
      </c>
      <c r="L36" s="47">
        <f t="shared" ref="L36:R36" si="19">SUM(L31:L35)</f>
        <v>160751699.67503956</v>
      </c>
      <c r="M36" s="47">
        <f t="shared" si="19"/>
        <v>248546381.84974498</v>
      </c>
      <c r="N36" s="47">
        <f t="shared" si="19"/>
        <v>358461741.38680667</v>
      </c>
      <c r="O36" s="47">
        <f t="shared" si="19"/>
        <v>501125221.89939517</v>
      </c>
      <c r="P36" s="47">
        <f t="shared" si="19"/>
        <v>662654173.29275024</v>
      </c>
      <c r="Q36" s="47">
        <f t="shared" si="19"/>
        <v>820220358.49595249</v>
      </c>
      <c r="R36" s="47">
        <f t="shared" si="19"/>
        <v>988434941.74746633</v>
      </c>
    </row>
    <row r="37" spans="10:18" x14ac:dyDescent="0.3">
      <c r="J37" s="45">
        <v>0.6</v>
      </c>
      <c r="K37" s="45" t="s">
        <v>100</v>
      </c>
      <c r="L37" s="47">
        <f t="shared" ref="L37:R37" si="20">L36*(1+$J$37)</f>
        <v>257202719.48006332</v>
      </c>
      <c r="M37" s="47">
        <f t="shared" si="20"/>
        <v>397674210.95959198</v>
      </c>
      <c r="N37" s="47">
        <f t="shared" si="20"/>
        <v>573538786.21889067</v>
      </c>
      <c r="O37" s="47">
        <f t="shared" si="20"/>
        <v>801800355.03903234</v>
      </c>
      <c r="P37" s="47">
        <f t="shared" si="20"/>
        <v>1060246677.2684004</v>
      </c>
      <c r="Q37" s="47">
        <f t="shared" si="20"/>
        <v>1312352573.593524</v>
      </c>
      <c r="R37" s="47">
        <f t="shared" si="20"/>
        <v>1581495906.7959461</v>
      </c>
    </row>
    <row r="38" spans="10:18" x14ac:dyDescent="0.3">
      <c r="L38" s="46">
        <f t="shared" ref="L38:R38" si="21">L37/L21</f>
        <v>6222445.8981989557</v>
      </c>
      <c r="M38" s="46">
        <f t="shared" si="21"/>
        <v>5930800.5495941183</v>
      </c>
      <c r="N38" s="46">
        <f t="shared" si="21"/>
        <v>5710138.2966433829</v>
      </c>
      <c r="O38" s="46">
        <f t="shared" si="21"/>
        <v>5536821.8734964887</v>
      </c>
      <c r="P38" s="46">
        <f t="shared" si="21"/>
        <v>5406297.6636976767</v>
      </c>
      <c r="Q38" s="46">
        <f t="shared" si="21"/>
        <v>5326580.6894183233</v>
      </c>
      <c r="R38" s="46">
        <f t="shared" si="21"/>
        <v>5283592.6014274992</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3E99C-434D-42A9-9989-E0AC4B0BB234}">
  <sheetPr codeName="Sheet32"/>
  <dimension ref="A1:AJ78"/>
  <sheetViews>
    <sheetView zoomScale="130" zoomScaleNormal="130" workbookViewId="0">
      <pane xSplit="4" ySplit="7" topLeftCell="S56" activePane="bottomRight" state="frozenSplit"/>
      <selection pane="topRight" activeCell="Q1" sqref="Q1"/>
      <selection pane="bottomLeft" activeCell="B48" sqref="B48"/>
      <selection pane="bottomRight" activeCell="D58" sqref="D58"/>
    </sheetView>
  </sheetViews>
  <sheetFormatPr defaultRowHeight="14.5" x14ac:dyDescent="0.35"/>
  <cols>
    <col min="1" max="1" width="37.7265625" customWidth="1"/>
    <col min="2" max="2" width="7.90625" customWidth="1"/>
    <col min="3" max="3" width="11.7265625" bestFit="1" customWidth="1"/>
    <col min="4" max="4" width="13.7265625" bestFit="1" customWidth="1"/>
    <col min="5" max="17" width="7.6328125" bestFit="1" customWidth="1"/>
    <col min="18" max="18" width="10.26953125" bestFit="1" customWidth="1"/>
    <col min="19" max="19" width="9.90625" bestFit="1" customWidth="1"/>
    <col min="20" max="20" width="10.26953125" bestFit="1" customWidth="1"/>
    <col min="21" max="21" width="10.26953125" customWidth="1"/>
    <col min="22" max="22" width="12.6328125" customWidth="1"/>
    <col min="23" max="23" width="37.7265625" customWidth="1"/>
    <col min="24" max="27" width="7.6328125" bestFit="1" customWidth="1"/>
    <col min="28" max="29" width="7.6328125" customWidth="1"/>
    <col min="30" max="30" width="8.453125" customWidth="1"/>
    <col min="31" max="32" width="13" customWidth="1"/>
    <col min="33" max="50" width="11.81640625" bestFit="1" customWidth="1"/>
    <col min="51" max="51" width="10.81640625" bestFit="1" customWidth="1"/>
    <col min="52" max="66" width="11.81640625" bestFit="1" customWidth="1"/>
    <col min="67" max="67" width="10.81640625" bestFit="1" customWidth="1"/>
  </cols>
  <sheetData>
    <row r="1" spans="1:36" x14ac:dyDescent="0.35">
      <c r="D1" s="83" t="s">
        <v>144</v>
      </c>
      <c r="E1" s="199" t="s">
        <v>150</v>
      </c>
      <c r="F1" s="200"/>
      <c r="G1" s="200"/>
      <c r="H1" s="201"/>
      <c r="I1" s="199" t="s">
        <v>151</v>
      </c>
      <c r="J1" s="200"/>
      <c r="K1" s="200"/>
      <c r="L1" s="200"/>
      <c r="M1" s="200"/>
      <c r="N1" s="200"/>
      <c r="O1" s="200"/>
      <c r="P1" s="201"/>
      <c r="Q1" s="199" t="s">
        <v>152</v>
      </c>
      <c r="R1" s="200"/>
      <c r="S1" s="200"/>
      <c r="T1" s="201"/>
      <c r="X1" s="199" t="s">
        <v>158</v>
      </c>
      <c r="Y1" s="200"/>
      <c r="Z1" s="200"/>
      <c r="AA1" s="201"/>
    </row>
    <row r="2" spans="1:36" x14ac:dyDescent="0.35">
      <c r="D2" s="85" t="s">
        <v>0</v>
      </c>
      <c r="E2" s="89" t="s">
        <v>146</v>
      </c>
      <c r="F2" s="89" t="s">
        <v>146</v>
      </c>
      <c r="G2" s="89" t="s">
        <v>146</v>
      </c>
      <c r="H2" s="89" t="s">
        <v>146</v>
      </c>
      <c r="I2" s="88">
        <v>1</v>
      </c>
      <c r="J2" s="88">
        <v>1</v>
      </c>
      <c r="K2" s="88">
        <v>1</v>
      </c>
      <c r="L2" s="88">
        <v>1</v>
      </c>
      <c r="M2" s="88">
        <v>1</v>
      </c>
      <c r="N2" s="88">
        <v>1</v>
      </c>
      <c r="O2" s="88">
        <v>1</v>
      </c>
      <c r="P2" s="88">
        <v>1</v>
      </c>
      <c r="Q2" s="90">
        <v>1</v>
      </c>
      <c r="R2" s="90">
        <v>1</v>
      </c>
      <c r="S2" s="90">
        <v>1</v>
      </c>
      <c r="T2" s="90">
        <v>1</v>
      </c>
      <c r="X2" s="89" t="s">
        <v>146</v>
      </c>
      <c r="Y2" s="89" t="s">
        <v>146</v>
      </c>
      <c r="Z2" s="89" t="s">
        <v>146</v>
      </c>
      <c r="AA2" s="89" t="s">
        <v>146</v>
      </c>
    </row>
    <row r="3" spans="1:36" x14ac:dyDescent="0.35">
      <c r="D3" s="85" t="s">
        <v>145</v>
      </c>
      <c r="E3" s="89">
        <v>1</v>
      </c>
      <c r="F3" s="89">
        <v>1</v>
      </c>
      <c r="G3" s="89">
        <v>1</v>
      </c>
      <c r="H3" s="89">
        <v>1</v>
      </c>
      <c r="I3" s="88" t="s">
        <v>146</v>
      </c>
      <c r="J3" s="88" t="s">
        <v>146</v>
      </c>
      <c r="K3" s="88" t="s">
        <v>146</v>
      </c>
      <c r="L3" s="88" t="s">
        <v>146</v>
      </c>
      <c r="M3" s="88" t="s">
        <v>146</v>
      </c>
      <c r="N3" s="88" t="s">
        <v>146</v>
      </c>
      <c r="O3" s="88" t="s">
        <v>146</v>
      </c>
      <c r="P3" s="88" t="s">
        <v>146</v>
      </c>
      <c r="Q3" s="90">
        <v>1</v>
      </c>
      <c r="R3" s="90">
        <v>1</v>
      </c>
      <c r="S3" s="90">
        <v>1</v>
      </c>
      <c r="T3" s="90">
        <v>1</v>
      </c>
      <c r="X3" s="89">
        <v>1</v>
      </c>
      <c r="Y3" s="89">
        <v>1</v>
      </c>
      <c r="Z3" s="89">
        <v>1</v>
      </c>
      <c r="AA3" s="89">
        <v>1</v>
      </c>
    </row>
    <row r="4" spans="1:36" s="35" customFormat="1" x14ac:dyDescent="0.35">
      <c r="A4"/>
      <c r="B4"/>
      <c r="C4"/>
      <c r="D4" s="85" t="s">
        <v>134</v>
      </c>
      <c r="E4" s="89">
        <v>1</v>
      </c>
      <c r="F4" s="89">
        <v>1</v>
      </c>
      <c r="G4" s="89">
        <v>1</v>
      </c>
      <c r="H4" s="89">
        <v>1</v>
      </c>
      <c r="I4" s="88">
        <v>1</v>
      </c>
      <c r="J4" s="88">
        <v>1</v>
      </c>
      <c r="K4" s="88">
        <v>1</v>
      </c>
      <c r="L4" s="88">
        <v>1</v>
      </c>
      <c r="M4" s="88">
        <v>1</v>
      </c>
      <c r="N4" s="88">
        <v>1</v>
      </c>
      <c r="O4" s="88">
        <v>1</v>
      </c>
      <c r="P4" s="88">
        <v>1</v>
      </c>
      <c r="Q4" s="90" t="s">
        <v>146</v>
      </c>
      <c r="R4" s="90" t="s">
        <v>146</v>
      </c>
      <c r="S4" s="90" t="s">
        <v>146</v>
      </c>
      <c r="T4" s="90" t="s">
        <v>146</v>
      </c>
      <c r="U4"/>
      <c r="V4" s="61"/>
      <c r="W4"/>
      <c r="X4" s="89">
        <v>1</v>
      </c>
      <c r="Y4" s="89">
        <v>1</v>
      </c>
      <c r="Z4" s="89">
        <v>1</v>
      </c>
      <c r="AA4" s="89">
        <v>1</v>
      </c>
      <c r="AB4"/>
      <c r="AC4"/>
      <c r="AD4"/>
      <c r="AE4"/>
      <c r="AF4"/>
      <c r="AG4"/>
      <c r="AH4"/>
      <c r="AI4"/>
      <c r="AJ4"/>
    </row>
    <row r="5" spans="1:36" x14ac:dyDescent="0.35">
      <c r="D5" s="85" t="s">
        <v>72</v>
      </c>
      <c r="E5" s="84">
        <v>1</v>
      </c>
      <c r="F5" s="84" t="s">
        <v>146</v>
      </c>
      <c r="G5" s="84" t="s">
        <v>146</v>
      </c>
      <c r="H5" s="84" t="s">
        <v>146</v>
      </c>
      <c r="I5" s="86">
        <v>1</v>
      </c>
      <c r="J5" s="86">
        <v>1</v>
      </c>
      <c r="K5" s="86" t="s">
        <v>147</v>
      </c>
      <c r="L5" s="86" t="s">
        <v>146</v>
      </c>
      <c r="M5" s="86" t="s">
        <v>146</v>
      </c>
      <c r="N5" s="86" t="s">
        <v>146</v>
      </c>
      <c r="O5" s="86" t="s">
        <v>147</v>
      </c>
      <c r="P5" s="86" t="s">
        <v>146</v>
      </c>
      <c r="Q5" s="87">
        <v>1</v>
      </c>
      <c r="R5" s="87">
        <v>1</v>
      </c>
      <c r="S5" s="87" t="s">
        <v>146</v>
      </c>
      <c r="T5" s="87" t="s">
        <v>146</v>
      </c>
      <c r="V5" s="69" t="s">
        <v>141</v>
      </c>
      <c r="X5" s="84">
        <v>1</v>
      </c>
      <c r="Y5" s="84" t="s">
        <v>146</v>
      </c>
      <c r="Z5" s="84" t="s">
        <v>146</v>
      </c>
      <c r="AA5" s="84" t="s">
        <v>146</v>
      </c>
    </row>
    <row r="6" spans="1:36" x14ac:dyDescent="0.35">
      <c r="D6" s="85" t="s">
        <v>76</v>
      </c>
      <c r="E6" s="84" t="s">
        <v>146</v>
      </c>
      <c r="F6" s="84">
        <v>1</v>
      </c>
      <c r="G6" s="84" t="s">
        <v>146</v>
      </c>
      <c r="H6" s="84" t="s">
        <v>146</v>
      </c>
      <c r="I6" s="86" t="s">
        <v>147</v>
      </c>
      <c r="J6" s="86" t="s">
        <v>146</v>
      </c>
      <c r="K6" s="86">
        <v>1</v>
      </c>
      <c r="L6" s="86">
        <v>1</v>
      </c>
      <c r="M6" s="86" t="s">
        <v>147</v>
      </c>
      <c r="N6" s="86" t="s">
        <v>146</v>
      </c>
      <c r="O6" s="86" t="s">
        <v>146</v>
      </c>
      <c r="P6" s="86" t="s">
        <v>146</v>
      </c>
      <c r="Q6" s="87" t="s">
        <v>146</v>
      </c>
      <c r="R6" s="87" t="s">
        <v>146</v>
      </c>
      <c r="S6" s="87">
        <v>1</v>
      </c>
      <c r="T6" s="87">
        <v>1</v>
      </c>
      <c r="V6" s="78" t="s">
        <v>140</v>
      </c>
      <c r="X6" s="84" t="s">
        <v>146</v>
      </c>
      <c r="Y6" s="84">
        <v>1</v>
      </c>
      <c r="Z6" s="84" t="s">
        <v>146</v>
      </c>
      <c r="AA6" s="84" t="s">
        <v>146</v>
      </c>
    </row>
    <row r="7" spans="1:36" x14ac:dyDescent="0.35">
      <c r="D7" s="85" t="s">
        <v>148</v>
      </c>
      <c r="E7" s="84" t="s">
        <v>146</v>
      </c>
      <c r="F7" s="84" t="s">
        <v>146</v>
      </c>
      <c r="G7" s="84">
        <v>1</v>
      </c>
      <c r="H7" s="84" t="s">
        <v>146</v>
      </c>
      <c r="I7" s="86" t="s">
        <v>146</v>
      </c>
      <c r="J7" s="86" t="s">
        <v>146</v>
      </c>
      <c r="K7" s="86" t="s">
        <v>146</v>
      </c>
      <c r="L7" s="86" t="s">
        <v>147</v>
      </c>
      <c r="M7" s="86">
        <v>1</v>
      </c>
      <c r="N7" s="86">
        <v>1</v>
      </c>
      <c r="O7" s="86" t="s">
        <v>146</v>
      </c>
      <c r="P7" s="86" t="s">
        <v>147</v>
      </c>
      <c r="Q7" s="87" t="s">
        <v>146</v>
      </c>
      <c r="R7" s="87" t="s">
        <v>146</v>
      </c>
      <c r="S7" s="87" t="s">
        <v>146</v>
      </c>
      <c r="T7" s="87" t="s">
        <v>146</v>
      </c>
      <c r="V7" s="28"/>
      <c r="X7" s="84" t="s">
        <v>146</v>
      </c>
      <c r="Y7" s="84" t="s">
        <v>146</v>
      </c>
      <c r="Z7" s="84">
        <v>1</v>
      </c>
      <c r="AA7" s="84" t="s">
        <v>146</v>
      </c>
    </row>
    <row r="8" spans="1:36" x14ac:dyDescent="0.35">
      <c r="D8" s="85" t="s">
        <v>149</v>
      </c>
      <c r="E8" s="84" t="s">
        <v>146</v>
      </c>
      <c r="F8" s="84" t="s">
        <v>146</v>
      </c>
      <c r="G8" s="84" t="s">
        <v>146</v>
      </c>
      <c r="H8" s="84">
        <v>1</v>
      </c>
      <c r="I8" s="86" t="s">
        <v>146</v>
      </c>
      <c r="J8" s="86" t="s">
        <v>147</v>
      </c>
      <c r="K8" s="86" t="s">
        <v>146</v>
      </c>
      <c r="L8" s="86" t="s">
        <v>146</v>
      </c>
      <c r="M8" s="86" t="s">
        <v>146</v>
      </c>
      <c r="N8" s="86" t="s">
        <v>147</v>
      </c>
      <c r="O8" s="86">
        <v>1</v>
      </c>
      <c r="P8" s="86">
        <v>1</v>
      </c>
      <c r="Q8" s="87" t="s">
        <v>146</v>
      </c>
      <c r="R8" s="87" t="s">
        <v>146</v>
      </c>
      <c r="S8" s="87" t="s">
        <v>146</v>
      </c>
      <c r="T8" s="87" t="s">
        <v>146</v>
      </c>
      <c r="V8" s="28"/>
      <c r="X8" s="84" t="s">
        <v>146</v>
      </c>
      <c r="Y8" s="84" t="s">
        <v>146</v>
      </c>
      <c r="Z8" s="84" t="s">
        <v>146</v>
      </c>
      <c r="AA8" s="84">
        <v>1</v>
      </c>
    </row>
    <row r="9" spans="1:36" x14ac:dyDescent="0.35">
      <c r="D9" s="92"/>
      <c r="E9" s="205" t="s">
        <v>153</v>
      </c>
      <c r="F9" s="206"/>
      <c r="G9" s="206"/>
      <c r="H9" s="207"/>
      <c r="I9" s="215" t="s">
        <v>155</v>
      </c>
      <c r="J9" s="216"/>
      <c r="K9" s="216"/>
      <c r="L9" s="216"/>
      <c r="M9" s="216"/>
      <c r="N9" s="216"/>
      <c r="O9" s="216"/>
      <c r="P9" s="216"/>
      <c r="Q9" s="205" t="s">
        <v>154</v>
      </c>
      <c r="R9" s="206"/>
      <c r="S9" s="206"/>
      <c r="T9" s="207"/>
      <c r="V9" s="28"/>
      <c r="X9" s="205" t="s">
        <v>153</v>
      </c>
      <c r="Y9" s="206"/>
      <c r="Z9" s="206"/>
      <c r="AA9" s="207"/>
    </row>
    <row r="10" spans="1:36" x14ac:dyDescent="0.35">
      <c r="D10" s="92"/>
      <c r="E10" s="208"/>
      <c r="F10" s="209"/>
      <c r="G10" s="209"/>
      <c r="H10" s="210"/>
      <c r="I10" s="216"/>
      <c r="J10" s="216"/>
      <c r="K10" s="216"/>
      <c r="L10" s="216"/>
      <c r="M10" s="216"/>
      <c r="N10" s="216"/>
      <c r="O10" s="216"/>
      <c r="P10" s="216"/>
      <c r="Q10" s="208"/>
      <c r="R10" s="209"/>
      <c r="S10" s="209"/>
      <c r="T10" s="210"/>
      <c r="V10" s="28"/>
      <c r="X10" s="208"/>
      <c r="Y10" s="209"/>
      <c r="Z10" s="209"/>
      <c r="AA10" s="210"/>
    </row>
    <row r="11" spans="1:36" x14ac:dyDescent="0.35">
      <c r="D11" s="92"/>
      <c r="E11" s="208"/>
      <c r="F11" s="209"/>
      <c r="G11" s="209"/>
      <c r="H11" s="210"/>
      <c r="I11" s="216"/>
      <c r="J11" s="216"/>
      <c r="K11" s="216"/>
      <c r="L11" s="216"/>
      <c r="M11" s="216"/>
      <c r="N11" s="216"/>
      <c r="O11" s="216"/>
      <c r="P11" s="216"/>
      <c r="Q11" s="208"/>
      <c r="R11" s="209"/>
      <c r="S11" s="209"/>
      <c r="T11" s="210"/>
      <c r="V11" s="28"/>
      <c r="X11" s="208"/>
      <c r="Y11" s="209"/>
      <c r="Z11" s="209"/>
      <c r="AA11" s="210"/>
    </row>
    <row r="12" spans="1:36" x14ac:dyDescent="0.35">
      <c r="D12" s="92"/>
      <c r="E12" s="211"/>
      <c r="F12" s="209"/>
      <c r="G12" s="209"/>
      <c r="H12" s="210"/>
      <c r="I12" s="216"/>
      <c r="J12" s="216"/>
      <c r="K12" s="216"/>
      <c r="L12" s="216"/>
      <c r="M12" s="216"/>
      <c r="N12" s="216"/>
      <c r="O12" s="216"/>
      <c r="P12" s="216"/>
      <c r="Q12" s="211"/>
      <c r="R12" s="209"/>
      <c r="S12" s="209"/>
      <c r="T12" s="210"/>
      <c r="V12" s="28"/>
      <c r="X12" s="211"/>
      <c r="Y12" s="209"/>
      <c r="Z12" s="209"/>
      <c r="AA12" s="210"/>
    </row>
    <row r="13" spans="1:36" x14ac:dyDescent="0.35">
      <c r="D13" s="92"/>
      <c r="E13" s="212"/>
      <c r="F13" s="213"/>
      <c r="G13" s="213"/>
      <c r="H13" s="214"/>
      <c r="I13" s="216"/>
      <c r="J13" s="216"/>
      <c r="K13" s="216"/>
      <c r="L13" s="216"/>
      <c r="M13" s="216"/>
      <c r="N13" s="216"/>
      <c r="O13" s="216"/>
      <c r="P13" s="216"/>
      <c r="Q13" s="212"/>
      <c r="R13" s="213"/>
      <c r="S13" s="213"/>
      <c r="T13" s="214"/>
      <c r="V13" s="28"/>
      <c r="X13" s="212"/>
      <c r="Y13" s="213"/>
      <c r="Z13" s="213"/>
      <c r="AA13" s="214"/>
    </row>
    <row r="14" spans="1:36" x14ac:dyDescent="0.35">
      <c r="A14" s="8" t="s">
        <v>4</v>
      </c>
      <c r="B14" s="11"/>
      <c r="C14" s="11"/>
      <c r="D14" s="91"/>
      <c r="E14" s="33">
        <v>2</v>
      </c>
      <c r="F14" s="33">
        <v>2</v>
      </c>
      <c r="G14" s="33">
        <v>2</v>
      </c>
      <c r="H14" s="33">
        <v>2</v>
      </c>
      <c r="I14" s="59">
        <f>E25</f>
        <v>95.898040407157396</v>
      </c>
      <c r="J14" s="33">
        <v>2</v>
      </c>
      <c r="K14" s="33">
        <v>2</v>
      </c>
      <c r="L14" s="33">
        <v>2</v>
      </c>
      <c r="M14" s="59">
        <f>K25</f>
        <v>98</v>
      </c>
      <c r="N14" s="33">
        <v>2</v>
      </c>
      <c r="O14" s="59">
        <f>N25</f>
        <v>98</v>
      </c>
      <c r="P14" s="33">
        <v>2</v>
      </c>
      <c r="Q14" s="33">
        <v>2</v>
      </c>
      <c r="R14" s="59">
        <f>N25</f>
        <v>98</v>
      </c>
      <c r="S14" s="33">
        <v>2</v>
      </c>
      <c r="T14" s="33">
        <v>2</v>
      </c>
      <c r="V14" s="28"/>
      <c r="W14" s="8" t="s">
        <v>4</v>
      </c>
      <c r="X14" s="33">
        <v>2</v>
      </c>
      <c r="Y14" s="33">
        <v>2</v>
      </c>
      <c r="Z14" s="33">
        <v>2</v>
      </c>
      <c r="AA14" s="33">
        <v>2</v>
      </c>
    </row>
    <row r="15" spans="1:36" x14ac:dyDescent="0.35">
      <c r="A15" s="5" t="s">
        <v>5</v>
      </c>
      <c r="B15" s="7" t="s">
        <v>6</v>
      </c>
      <c r="C15" s="7"/>
      <c r="D15" s="58"/>
      <c r="E15" s="69">
        <v>300</v>
      </c>
      <c r="F15" s="63" cm="1">
        <f t="array" ref="F15">JKJInterpolate(F17,URVOL,URy,-1)</f>
        <v>291.44275200163946</v>
      </c>
      <c r="G15" s="63" cm="1">
        <f t="array" ref="G15">JKJInterpolate(G17,URVOL,URy,-1)</f>
        <v>301.87786631207581</v>
      </c>
      <c r="H15" s="63" cm="1">
        <f t="array" ref="H15">JKJInterpolate(H17,URVOL,URy,-1)</f>
        <v>291.44275200163946</v>
      </c>
      <c r="I15" s="69">
        <v>300</v>
      </c>
      <c r="J15" s="69">
        <v>300</v>
      </c>
      <c r="K15" s="81">
        <v>300.00000002550098</v>
      </c>
      <c r="L15" s="63" cm="1">
        <f t="array" ref="L15">JKJInterpolate(L17,URVOL,URy,-1)</f>
        <v>302.11833061850837</v>
      </c>
      <c r="M15" s="63" cm="1">
        <f t="array" ref="M15">JKJInterpolate(M17,URVOL,URy,-1)</f>
        <v>302.11833061850837</v>
      </c>
      <c r="N15" s="63" cm="1">
        <f t="array" ref="N15">JKJInterpolate(N17,URVOL,URy,-1)</f>
        <v>301.87786633917301</v>
      </c>
      <c r="O15" s="81">
        <v>299.77685820947681</v>
      </c>
      <c r="P15" s="63" cm="1">
        <f t="array" ref="P15">JKJInterpolate(P17,URVOL,URy,-1)</f>
        <v>301.54187902308939</v>
      </c>
      <c r="Q15" s="69">
        <v>300</v>
      </c>
      <c r="R15" s="69">
        <v>300</v>
      </c>
      <c r="S15" s="63"/>
      <c r="T15" s="63"/>
      <c r="V15" s="28"/>
      <c r="W15" s="5" t="s">
        <v>5</v>
      </c>
      <c r="X15" s="69">
        <v>280</v>
      </c>
      <c r="Y15" s="63" cm="1">
        <f t="array" ref="Y15">JKJInterpolate(Y17,URVOL,URy,-1)</f>
        <v>280</v>
      </c>
      <c r="Z15" s="63" cm="1">
        <f t="array" ref="Z15">JKJInterpolate(Z17,URVOL,URy,-1)</f>
        <v>301.87786631207581</v>
      </c>
      <c r="AA15" s="63" cm="1">
        <f t="array" ref="AA15">JKJInterpolate(AA17,URVOL,URy,-1)</f>
        <v>280</v>
      </c>
    </row>
    <row r="16" spans="1:36" x14ac:dyDescent="0.35">
      <c r="A16" s="5" t="s">
        <v>7</v>
      </c>
      <c r="B16" s="7" t="s">
        <v>6</v>
      </c>
      <c r="C16" s="7"/>
      <c r="D16" s="1"/>
      <c r="E16" s="63" cm="1">
        <f t="array" ref="E16">JKJInterpolate(E18,URVOL,URy,-1)</f>
        <v>290.75604357508382</v>
      </c>
      <c r="F16" s="69">
        <v>280</v>
      </c>
      <c r="G16" s="63" cm="1">
        <f t="array" ref="G16">JKJInterpolate(G18,URVOL,URy,-1)</f>
        <v>292.96959902048746</v>
      </c>
      <c r="H16" s="63" cm="1">
        <f t="array" ref="H16">JKJInterpolate(H18,URVOL,URy,-1)</f>
        <v>280</v>
      </c>
      <c r="I16" s="81">
        <v>291.35806530830865</v>
      </c>
      <c r="J16" s="63" cm="1">
        <f t="array" ref="J16">JKJInterpolate(J18,URVOL,URy,-1)</f>
        <v>292.5088762175688</v>
      </c>
      <c r="K16" s="69">
        <v>291.35806530588246</v>
      </c>
      <c r="L16" s="69">
        <v>291.62492737073961</v>
      </c>
      <c r="M16" s="81">
        <v>283.27248223374318</v>
      </c>
      <c r="N16" s="63" cm="1">
        <f t="array" ref="N16">JKJInterpolate(N18,URVOL,URy,-1)</f>
        <v>283.01972648668936</v>
      </c>
      <c r="O16" s="63" cm="1">
        <f t="array" ref="O16">JKJInterpolate(O18,URVOL,URy,-1)</f>
        <v>292.50887622062248</v>
      </c>
      <c r="P16" s="63" cm="1">
        <f t="array" ref="P16">JKJInterpolate(P18,URVOL,URy,-1)</f>
        <v>292.5088762175688</v>
      </c>
      <c r="Q16" s="63" cm="1">
        <f t="array" ref="Q16">JKJInterpolate(Q18,URVOL,URy,-1)</f>
        <v>290.29532077333033</v>
      </c>
      <c r="R16" s="63" cm="1">
        <f t="array" ref="R16">JKJInterpolate(R18,URVOL,URy,-1)</f>
        <v>290.29532077341224</v>
      </c>
      <c r="S16" s="69">
        <v>285</v>
      </c>
      <c r="T16" s="69">
        <v>285</v>
      </c>
      <c r="V16" s="28"/>
      <c r="W16" s="5" t="s">
        <v>7</v>
      </c>
      <c r="X16" s="63" cm="1">
        <f t="array" ref="X16">JKJInterpolate(X18,URVOL,URy,-1)</f>
        <v>286.11900854783744</v>
      </c>
      <c r="Y16" s="69">
        <v>280</v>
      </c>
      <c r="Z16" s="63" cm="1">
        <f t="array" ref="Z16">JKJInterpolate(Z18,URVOL,URy,-1)</f>
        <v>301.87786631207581</v>
      </c>
      <c r="AA16" s="63" cm="1">
        <f t="array" ref="AA16">JKJInterpolate(AA18,URVOL,URy,-1)</f>
        <v>280</v>
      </c>
    </row>
    <row r="17" spans="1:27" x14ac:dyDescent="0.35">
      <c r="A17" s="5" t="s">
        <v>126</v>
      </c>
      <c r="B17" s="7" t="s">
        <v>9</v>
      </c>
      <c r="C17" s="31"/>
      <c r="D17" s="1"/>
      <c r="E17" s="64" cm="1">
        <f t="array" ref="E17">JKJInterpolate(E15,URy,URVOL,-1)</f>
        <v>7086569.7977259997</v>
      </c>
      <c r="F17" s="64">
        <f>F18+F27</f>
        <v>5250252.9579699999</v>
      </c>
      <c r="G17" s="73">
        <v>7527158.178402571</v>
      </c>
      <c r="H17" s="64">
        <f>H18+H27</f>
        <v>5250252.9579699999</v>
      </c>
      <c r="I17" s="64" cm="1">
        <f t="array" ref="I17">JKJInterpolate(I15,URy,URVOL,-1)</f>
        <v>7086569.7977259997</v>
      </c>
      <c r="J17" s="64" cm="1">
        <f t="array" ref="J17">JKJInterpolate(J15,URy,URVOL,-1)</f>
        <v>7086569.7977259997</v>
      </c>
      <c r="K17" s="64" cm="1">
        <f t="array" ref="K17">JKJInterpolate(K15,URy,URVOL,-1)</f>
        <v>7086569.803709086</v>
      </c>
      <c r="L17" s="80">
        <v>7583576.3476302465</v>
      </c>
      <c r="M17" s="82">
        <v>7583576.3476302465</v>
      </c>
      <c r="N17" s="82">
        <v>7527158.1847601719</v>
      </c>
      <c r="O17" s="64" cm="1">
        <f t="array" ref="O17">JKJInterpolate(O15,URy,URVOL,-1)</f>
        <v>7036216.5810431177</v>
      </c>
      <c r="P17" s="80">
        <v>7448328.2347423183</v>
      </c>
      <c r="Q17" s="64" cm="1">
        <f t="array" ref="Q17">JKJInterpolate(Q15,URy,URVOL,-1)</f>
        <v>7086569.7977259997</v>
      </c>
      <c r="R17" s="64" cm="1">
        <f t="array" ref="R17">JKJInterpolate(R15,URy,URVOL,-1)</f>
        <v>7086569.7977259997</v>
      </c>
      <c r="S17" s="64" t="e" cm="1">
        <f t="array" ref="S17">JKJInterpolate(S15,URy,URVOL,-1)</f>
        <v>#VALUE!</v>
      </c>
      <c r="T17" s="64" t="e" cm="1">
        <f t="array" ref="T17">JKJInterpolate(T15,URy,URVOL,-1)</f>
        <v>#VALUE!</v>
      </c>
      <c r="W17" s="5" t="s">
        <v>126</v>
      </c>
      <c r="X17" s="64" cm="1">
        <f t="array" ref="X17">JKJInterpolate(X15,URy,URVOL,-1)+X20</f>
        <v>4277252.9579699999</v>
      </c>
      <c r="Y17" s="64">
        <f>Y18+Y31</f>
        <v>3277252.9579699999</v>
      </c>
      <c r="Z17" s="73">
        <v>7527158.178402571</v>
      </c>
      <c r="AA17" s="64">
        <f>AA18+AA31</f>
        <v>3277252.9579699999</v>
      </c>
    </row>
    <row r="18" spans="1:27" x14ac:dyDescent="0.35">
      <c r="A18" s="5" t="s">
        <v>10</v>
      </c>
      <c r="B18" s="7" t="s">
        <v>9</v>
      </c>
      <c r="C18" s="7"/>
      <c r="D18" s="34"/>
      <c r="E18" s="64">
        <f>E17-E27</f>
        <v>5113569.7977259997</v>
      </c>
      <c r="F18" s="64" cm="1">
        <f t="array" ref="F18">JKJInterpolate(F16,URy,URVOL,-1)</f>
        <v>3277252.9579699999</v>
      </c>
      <c r="G18" s="64">
        <f>G17-G27</f>
        <v>5554158.178402571</v>
      </c>
      <c r="H18" s="73">
        <v>3277252.9579699999</v>
      </c>
      <c r="I18" s="64" cm="1">
        <f t="array" ref="I18">JKJInterpolate(I16,URy,URVOL,-1)</f>
        <v>5233396.8303509969</v>
      </c>
      <c r="J18" s="80">
        <v>5462455.4319905899</v>
      </c>
      <c r="K18" s="64" cm="1">
        <f t="array" ref="K18">JKJInterpolate(K16,URy,URVOL,-1)</f>
        <v>5233396.8298680848</v>
      </c>
      <c r="L18" s="64" cm="1">
        <f t="array" ref="L18">JKJInterpolate(L16,URy,URVOL,-1)</f>
        <v>5286513.3331224136</v>
      </c>
      <c r="M18" s="64" cm="1">
        <f t="array" ref="M18">JKJInterpolate(M16,URy,URVOL,-1)</f>
        <v>3802324.9102679603</v>
      </c>
      <c r="N18" s="80">
        <v>3761770.0824398301</v>
      </c>
      <c r="O18" s="82">
        <v>5462455.4325984027</v>
      </c>
      <c r="P18" s="82">
        <v>5462455.4319905899</v>
      </c>
      <c r="Q18" s="64">
        <f>Q17-Q27</f>
        <v>5021867.0515459292</v>
      </c>
      <c r="R18" s="64">
        <f t="shared" ref="R18:T18" si="0">R17-R27</f>
        <v>5021867.0515622394</v>
      </c>
      <c r="S18" s="64" t="e">
        <f t="shared" si="0"/>
        <v>#VALUE!</v>
      </c>
      <c r="T18" s="64" t="e">
        <f t="shared" si="0"/>
        <v>#VALUE!</v>
      </c>
      <c r="W18" s="5" t="s">
        <v>10</v>
      </c>
      <c r="X18" s="64">
        <f>X17-X31</f>
        <v>4277252.9579699999</v>
      </c>
      <c r="Y18" s="64" cm="1">
        <f t="array" ref="Y18">JKJInterpolate(Y16,URy,URVOL,-1)</f>
        <v>3277252.9579699999</v>
      </c>
      <c r="Z18" s="64">
        <f>Z17-Z31</f>
        <v>7527158.178402571</v>
      </c>
      <c r="AA18" s="73">
        <v>3277252.9579699999</v>
      </c>
    </row>
    <row r="19" spans="1:27" x14ac:dyDescent="0.35">
      <c r="A19" s="8" t="s">
        <v>12</v>
      </c>
      <c r="B19" s="11"/>
      <c r="C19" s="11"/>
      <c r="D19" s="10"/>
      <c r="E19" s="72">
        <f>(E17-E18)/1000000</f>
        <v>1.9730000000000001</v>
      </c>
      <c r="F19" s="72">
        <f t="shared" ref="F19:L19" si="1">(F17-F18)/1000000</f>
        <v>1.9730000000000001</v>
      </c>
      <c r="G19" s="72">
        <f>(G17-G18)/1000000</f>
        <v>1.9730000000000001</v>
      </c>
      <c r="H19" s="72">
        <f t="shared" ref="H19" si="2">(H17-H18)/1000000</f>
        <v>1.9730000000000001</v>
      </c>
      <c r="I19" s="72">
        <f t="shared" si="1"/>
        <v>1.8531729673750028</v>
      </c>
      <c r="J19" s="72">
        <f>(J17-J18)/1000000</f>
        <v>1.6241143657354098</v>
      </c>
      <c r="K19" s="72">
        <f>(K17-K18)/1000000</f>
        <v>1.8531729738410012</v>
      </c>
      <c r="L19" s="72">
        <f t="shared" si="1"/>
        <v>2.2970630145078328</v>
      </c>
      <c r="M19" s="72">
        <f>(M17-M18)/1000000</f>
        <v>3.7812514373622861</v>
      </c>
      <c r="N19" s="72">
        <f>(N17-N18)/1000000</f>
        <v>3.7653881023203417</v>
      </c>
      <c r="O19" s="72">
        <f>(O17-O18)/1000000</f>
        <v>1.5737611484447149</v>
      </c>
      <c r="P19" s="72">
        <f t="shared" ref="P19" si="3">(P17-P18)/1000000</f>
        <v>1.9858728027517283</v>
      </c>
      <c r="Q19" s="72">
        <f t="shared" ref="Q19" si="4">(Q17-Q18)/1000000</f>
        <v>2.0647027461800707</v>
      </c>
      <c r="R19" s="72">
        <f t="shared" ref="R19" si="5">(R17-R18)/1000000</f>
        <v>2.0647027461637601</v>
      </c>
      <c r="S19" s="72" t="e">
        <f t="shared" ref="S19" si="6">(S17-S18)/1000000</f>
        <v>#VALUE!</v>
      </c>
      <c r="T19" s="72" t="e">
        <f>(T17-T18)/1000000</f>
        <v>#VALUE!</v>
      </c>
      <c r="W19" s="5" t="s">
        <v>157</v>
      </c>
      <c r="X19" s="64">
        <f>X17-X18+X20</f>
        <v>1000000</v>
      </c>
      <c r="Y19" s="64">
        <f t="shared" ref="Y19:Z19" si="7">Y17-Y18+Y20</f>
        <v>1000000</v>
      </c>
      <c r="Z19" s="64">
        <f t="shared" si="7"/>
        <v>0</v>
      </c>
      <c r="AA19" s="64">
        <f>AA17-AA18+AA20</f>
        <v>0</v>
      </c>
    </row>
    <row r="20" spans="1:27" x14ac:dyDescent="0.35">
      <c r="A20" s="5" t="s">
        <v>13</v>
      </c>
      <c r="B20" s="7" t="s">
        <v>6</v>
      </c>
      <c r="C20" s="7"/>
      <c r="D20" s="1"/>
      <c r="E20" s="69">
        <v>135</v>
      </c>
      <c r="F20" s="69">
        <v>136</v>
      </c>
      <c r="G20" s="69">
        <v>137</v>
      </c>
      <c r="H20" s="69">
        <v>138</v>
      </c>
      <c r="I20" s="69">
        <v>139</v>
      </c>
      <c r="J20" s="69">
        <v>139</v>
      </c>
      <c r="K20" s="81">
        <v>138.99999999921559</v>
      </c>
      <c r="L20" s="63" cm="1">
        <f t="array" ref="L20">JKJInterpolate(L22,LRvol,LRy,-1)</f>
        <v>138.9793977624484</v>
      </c>
      <c r="M20" s="63" cm="1">
        <f t="array" ref="M20">JKJInterpolate(M22,URVOL,URy,-1)</f>
        <v>289.01810568201415</v>
      </c>
      <c r="N20" s="63" cm="1">
        <f t="array" ref="N20">JKJInterpolate(N22,URVOL,URy,-1)</f>
        <v>287.95712506524205</v>
      </c>
      <c r="O20" s="81">
        <v>134.78689954026498</v>
      </c>
      <c r="P20" s="63" cm="1">
        <f t="array" ref="P20">JKJInterpolate(P22,LRvol,LRy,-1)</f>
        <v>133.02183153408015</v>
      </c>
      <c r="Q20" s="69">
        <v>139</v>
      </c>
      <c r="R20" s="69">
        <v>139</v>
      </c>
      <c r="S20" s="63"/>
      <c r="T20" s="63"/>
      <c r="W20" s="5" t="s">
        <v>156</v>
      </c>
      <c r="X20" s="64">
        <v>1000000</v>
      </c>
      <c r="Y20" s="64">
        <v>1000000</v>
      </c>
      <c r="Z20" s="64"/>
      <c r="AA20" s="73"/>
    </row>
    <row r="21" spans="1:27" x14ac:dyDescent="0.35">
      <c r="A21" s="5" t="s">
        <v>14</v>
      </c>
      <c r="B21" s="7" t="s">
        <v>6</v>
      </c>
      <c r="C21" s="7"/>
      <c r="D21" s="1"/>
      <c r="E21" s="63" cm="1">
        <f t="array" ref="E21">JKJInterpolate(E23,LRvol,LRy,-1)</f>
        <v>120.00513397721393</v>
      </c>
      <c r="F21" s="63" cm="1">
        <f t="array" ref="F21">JKJInterpolate(F23,LRvol,LRy,-1)</f>
        <v>121.31749007321534</v>
      </c>
      <c r="G21" s="63" cm="1">
        <f t="array" ref="G21">JKJInterpolate(G23,LRvol,LRy,-1)</f>
        <v>122.62984616921673</v>
      </c>
      <c r="H21" s="63" cm="1">
        <f t="array" ref="H21">JKJInterpolate(H23,LRvol,LRy,-1)</f>
        <v>123.94220226521814</v>
      </c>
      <c r="I21" s="81">
        <v>124.48700088521495</v>
      </c>
      <c r="J21" s="63" cm="1">
        <f t="array" ref="J21">JKJInterpolate(J23,LRvol,LRy,-1)</f>
        <v>124.48700088508596</v>
      </c>
      <c r="K21" s="69">
        <v>124.48700088521495</v>
      </c>
      <c r="L21" s="69">
        <v>124.48700088521495</v>
      </c>
      <c r="M21" s="81">
        <v>114</v>
      </c>
      <c r="N21" s="63" cm="1">
        <f t="array" ref="N21">JKJInterpolate(N23,LRvol,LRy,-1)</f>
        <v>115.75018974150241</v>
      </c>
      <c r="O21" s="63" cm="1">
        <f t="array" ref="O21">JKJInterpolate(O23,LRvol,LRy,-1)</f>
        <v>119.36735560093426</v>
      </c>
      <c r="P21" s="63" cm="1">
        <f t="array" ref="P21">JKJInterpolate(P23,LRvol,LRy,-1)</f>
        <v>117.1350465900266</v>
      </c>
      <c r="Q21" s="63" cm="1">
        <f t="array" ref="Q21">JKJInterpolate(Q23,LRvol,LRy,-1)</f>
        <v>124.48700088508686</v>
      </c>
      <c r="R21" s="63" cm="1">
        <f t="array" ref="R21">JKJInterpolate(R23,LRvol,LRy,-1)</f>
        <v>124.48700088522337</v>
      </c>
      <c r="S21" s="69">
        <v>124.48700088521495</v>
      </c>
      <c r="T21" s="69">
        <v>120</v>
      </c>
      <c r="W21" s="8" t="s">
        <v>12</v>
      </c>
      <c r="X21" s="72">
        <f>(X19)/1000000</f>
        <v>1</v>
      </c>
      <c r="Y21" s="72">
        <f t="shared" ref="Y21:AA21" si="8">(Y19)/1000000</f>
        <v>1</v>
      </c>
      <c r="Z21" s="72">
        <f t="shared" si="8"/>
        <v>0</v>
      </c>
      <c r="AA21" s="72">
        <f t="shared" si="8"/>
        <v>0</v>
      </c>
    </row>
    <row r="22" spans="1:27" x14ac:dyDescent="0.35">
      <c r="A22" s="5" t="s">
        <v>8</v>
      </c>
      <c r="B22" s="7" t="s">
        <v>9</v>
      </c>
      <c r="C22" s="7"/>
      <c r="D22" s="1"/>
      <c r="E22" s="64" cm="1">
        <f t="array" ref="E22">JKJInterpolate(E20,LRy,LRvol,-1)</f>
        <v>3255642.2479810002</v>
      </c>
      <c r="F22" s="64" cm="1">
        <f t="array" ref="F22">JKJInterpolate(F20,LRy,LRvol,-1)</f>
        <v>3412433.9693982</v>
      </c>
      <c r="G22" s="64" cm="1">
        <f t="array" ref="G22">JKJInterpolate(G20,LRy,LRvol,-1)</f>
        <v>3569225.6908153999</v>
      </c>
      <c r="H22" s="64" cm="1">
        <f t="array" ref="H22">JKJInterpolate(H20,LRy,LRvol,-1)</f>
        <v>3726017.4122326002</v>
      </c>
      <c r="I22" s="64" cm="1">
        <f t="array" ref="I22">JKJInterpolate(I20,LRy,LRvol,-1)</f>
        <v>3882809.1336498</v>
      </c>
      <c r="J22" s="64" cm="1">
        <f t="array" ref="J22">JKJInterpolate(J20,LRy,LRvol,-1)</f>
        <v>3882809.1336498</v>
      </c>
      <c r="K22" s="64" cm="1">
        <f t="array" ref="K22">JKJInterpolate(K20,LRy,LRvol,-1)</f>
        <v>3882809.1335268109</v>
      </c>
      <c r="L22" s="80">
        <v>3879578.8733590371</v>
      </c>
      <c r="M22" s="82">
        <v>4789569.6979925996</v>
      </c>
      <c r="N22" s="82">
        <v>4602077.4872611994</v>
      </c>
      <c r="O22" s="64" cm="1">
        <f t="array" ref="O22">JKJInterpolate(O20,LRy,LRvol,-1)</f>
        <v>3224621.3873406094</v>
      </c>
      <c r="P22" s="80">
        <v>2967681.8729502745</v>
      </c>
      <c r="Q22" s="64" cm="1">
        <f t="array" ref="Q22">JKJInterpolate(Q20,LRy,LRvol,-1)</f>
        <v>3882809.1336498</v>
      </c>
      <c r="R22" s="64" cm="1">
        <f t="array" ref="R22">JKJInterpolate(R20,LRy,LRvol,-1)</f>
        <v>3882809.1336498</v>
      </c>
      <c r="S22" s="64" t="e" cm="1">
        <f t="array" ref="S22">JKJInterpolate(S20,LRy,LRvol,-1)</f>
        <v>#VALUE!</v>
      </c>
      <c r="T22" s="64" t="e" cm="1">
        <f t="array" ref="T22">JKJInterpolate(T20,LRy,LRvol,-1)</f>
        <v>#VALUE!</v>
      </c>
      <c r="W22" s="5" t="s">
        <v>13</v>
      </c>
      <c r="X22" s="69">
        <v>135</v>
      </c>
      <c r="Y22" s="69">
        <v>136</v>
      </c>
      <c r="Z22" s="69">
        <v>137</v>
      </c>
      <c r="AA22" s="69">
        <v>138</v>
      </c>
    </row>
    <row r="23" spans="1:27" x14ac:dyDescent="0.35">
      <c r="A23" s="5" t="s">
        <v>10</v>
      </c>
      <c r="B23" s="7" t="s">
        <v>9</v>
      </c>
      <c r="C23" s="7"/>
      <c r="D23" s="1"/>
      <c r="E23" s="64">
        <f>E22-E27</f>
        <v>1282642.2479810002</v>
      </c>
      <c r="F23" s="64">
        <f t="shared" ref="F23:H23" si="9">F22-F27</f>
        <v>1439433.9693982</v>
      </c>
      <c r="G23" s="64">
        <f t="shared" si="9"/>
        <v>1596225.6908153999</v>
      </c>
      <c r="H23" s="64">
        <f t="shared" si="9"/>
        <v>1753017.4122326002</v>
      </c>
      <c r="I23" s="64" cm="1">
        <f t="array" ref="I23">JKJInterpolate(I21,LRy,LRvol,-1)</f>
        <v>1818106.3874850338</v>
      </c>
      <c r="J23" s="80">
        <v>1818106.3874696221</v>
      </c>
      <c r="K23" s="64" cm="1">
        <f t="array" ref="K23">JKJInterpolate(K21,LRy,LRvol,-1)</f>
        <v>1818106.3874850338</v>
      </c>
      <c r="L23" s="64" cm="1">
        <f t="array" ref="L23">JKJInterpolate(L21,LRy,LRvol,-1)</f>
        <v>1818106.3874850338</v>
      </c>
      <c r="M23" s="64">
        <f>M22-M27</f>
        <v>1077631.1211852371</v>
      </c>
      <c r="N23" s="80">
        <v>836689.3550998508</v>
      </c>
      <c r="O23" s="82">
        <v>1215733.7842681203</v>
      </c>
      <c r="P23" s="82">
        <v>981809.12400949979</v>
      </c>
      <c r="Q23" s="64">
        <f>Q22-Q27</f>
        <v>1818106.3874697299</v>
      </c>
      <c r="R23" s="64">
        <f t="shared" ref="R23:T23" si="10">R22-R27</f>
        <v>1818106.3874860394</v>
      </c>
      <c r="S23" s="64" t="e">
        <f t="shared" si="10"/>
        <v>#VALUE!</v>
      </c>
      <c r="T23" s="64" t="e">
        <f t="shared" si="10"/>
        <v>#VALUE!</v>
      </c>
      <c r="W23" s="5" t="s">
        <v>14</v>
      </c>
      <c r="X23" s="63" cm="1">
        <f t="array" ref="X23">JKJInterpolate(X25,LRvol,LRy,-1)</f>
        <v>127.90134173582449</v>
      </c>
      <c r="Y23" s="63" cm="1">
        <f t="array" ref="Y23">JKJInterpolate(Y25,LRvol,LRy,-1)</f>
        <v>136</v>
      </c>
      <c r="Z23" s="63" cm="1">
        <f t="array" ref="Z23">JKJInterpolate(Z25,LRvol,LRy,-1)</f>
        <v>137</v>
      </c>
      <c r="AA23" s="63" cm="1">
        <f t="array" ref="AA23">JKJInterpolate(AA25,LRvol,LRy,-1)</f>
        <v>138</v>
      </c>
    </row>
    <row r="24" spans="1:27" x14ac:dyDescent="0.35">
      <c r="A24" s="8" t="s">
        <v>15</v>
      </c>
      <c r="B24" s="11"/>
      <c r="C24" s="11">
        <v>1</v>
      </c>
      <c r="D24" s="10"/>
      <c r="E24" s="72">
        <f>(E22-E23)/1000000</f>
        <v>1.9730000000000001</v>
      </c>
      <c r="F24" s="72">
        <f t="shared" ref="F24:L24" si="11">(F22-F23)/1000000</f>
        <v>1.9730000000000001</v>
      </c>
      <c r="G24" s="72">
        <f>(G22-G23)/1000000</f>
        <v>1.9730000000000001</v>
      </c>
      <c r="H24" s="72">
        <f t="shared" ref="H24" si="12">(H22-H23)/1000000</f>
        <v>1.9730000000000001</v>
      </c>
      <c r="I24" s="72">
        <f t="shared" si="11"/>
        <v>2.064702746164766</v>
      </c>
      <c r="J24" s="72">
        <f>(J22-J23)/1000000</f>
        <v>2.0647027461801777</v>
      </c>
      <c r="K24" s="72">
        <f>(K22-K23)/1000000</f>
        <v>2.0647027460417773</v>
      </c>
      <c r="L24" s="72">
        <f t="shared" si="11"/>
        <v>2.0614724858740034</v>
      </c>
      <c r="M24" s="72">
        <f>(M22-M23)/1000000</f>
        <v>3.7119385768073623</v>
      </c>
      <c r="N24" s="72">
        <f>(N22-N23)/1000000</f>
        <v>3.7653881321613487</v>
      </c>
      <c r="O24" s="72">
        <f>(O22-O23)/1000000</f>
        <v>2.0088876030724889</v>
      </c>
      <c r="P24" s="72">
        <f t="shared" ref="P24" si="13">(P22-P23)/1000000</f>
        <v>1.9858727489407748</v>
      </c>
      <c r="Q24" s="72">
        <f t="shared" ref="Q24" si="14">(Q22-Q23)/1000000</f>
        <v>2.0647027461800702</v>
      </c>
      <c r="R24" s="72">
        <f t="shared" ref="R24" si="15">(R22-R23)/1000000</f>
        <v>2.0647027461637606</v>
      </c>
      <c r="S24" s="72" t="e">
        <f t="shared" ref="S24" si="16">(S22-S23)/1000000</f>
        <v>#VALUE!</v>
      </c>
      <c r="T24" s="72" t="e">
        <f>(T22-T23)/1000000</f>
        <v>#VALUE!</v>
      </c>
      <c r="W24" s="5" t="s">
        <v>8</v>
      </c>
      <c r="X24" s="64" cm="1">
        <f t="array" ref="X24">JKJInterpolate(X22,LRy,LRvol,-1)</f>
        <v>3255642.2479810002</v>
      </c>
      <c r="Y24" s="64" cm="1">
        <f t="array" ref="Y24">JKJInterpolate(Y22,LRy,LRvol,-1)</f>
        <v>3412433.9693982</v>
      </c>
      <c r="Z24" s="64" cm="1">
        <f t="array" ref="Z24">JKJInterpolate(Z22,LRy,LRvol,-1)</f>
        <v>3569225.6908153999</v>
      </c>
      <c r="AA24" s="64" cm="1">
        <f t="array" ref="AA24">JKJInterpolate(AA22,LRy,LRvol,-1)</f>
        <v>3726017.4122326002</v>
      </c>
    </row>
    <row r="25" spans="1:27" x14ac:dyDescent="0.35">
      <c r="A25" s="5" t="s">
        <v>16</v>
      </c>
      <c r="B25" s="7" t="s">
        <v>17</v>
      </c>
      <c r="C25" s="7">
        <v>1</v>
      </c>
      <c r="D25" s="1"/>
      <c r="E25" s="65">
        <f>9.81*0.85*E31*E32/1000</f>
        <v>95.898040407157396</v>
      </c>
      <c r="F25" s="65">
        <f>9.81*0.85*F31*F32/1000</f>
        <v>89.721267166187403</v>
      </c>
      <c r="G25" s="65">
        <f>9.81*0.85*G31*G32/1000</f>
        <v>95.745720618359428</v>
      </c>
      <c r="H25" s="65">
        <f>9.81*0.85*H31*H32/1000</f>
        <v>88.40034494682142</v>
      </c>
      <c r="I25" s="70">
        <v>98</v>
      </c>
      <c r="J25" s="70">
        <v>98</v>
      </c>
      <c r="K25" s="70">
        <v>98</v>
      </c>
      <c r="L25" s="70">
        <v>98</v>
      </c>
      <c r="M25" s="70">
        <v>98</v>
      </c>
      <c r="N25" s="70">
        <v>98</v>
      </c>
      <c r="O25" s="70">
        <v>98</v>
      </c>
      <c r="P25" s="70">
        <v>98</v>
      </c>
      <c r="Q25" s="70">
        <v>50</v>
      </c>
      <c r="R25" s="70">
        <v>125</v>
      </c>
      <c r="S25" s="70"/>
      <c r="T25" s="70"/>
      <c r="W25" s="5" t="s">
        <v>10</v>
      </c>
      <c r="X25" s="64">
        <f>X24-X19</f>
        <v>2255642.2479810002</v>
      </c>
      <c r="Y25" s="64">
        <f>Y24-Y31</f>
        <v>3412433.9693982</v>
      </c>
      <c r="Z25" s="64">
        <f>Z24-Z31</f>
        <v>3569225.6908153999</v>
      </c>
      <c r="AA25" s="64">
        <f>AA24-AA31</f>
        <v>3726017.4122326002</v>
      </c>
    </row>
    <row r="26" spans="1:27" x14ac:dyDescent="0.35">
      <c r="A26" s="5" t="s">
        <v>18</v>
      </c>
      <c r="B26" s="7" t="s">
        <v>19</v>
      </c>
      <c r="C26" s="7">
        <v>1</v>
      </c>
      <c r="D26" s="1"/>
      <c r="E26" s="70">
        <v>8</v>
      </c>
      <c r="F26" s="70">
        <v>8</v>
      </c>
      <c r="G26" s="70">
        <v>8</v>
      </c>
      <c r="H26" s="70">
        <v>8</v>
      </c>
      <c r="I26" s="70">
        <v>8</v>
      </c>
      <c r="J26" s="70">
        <v>8</v>
      </c>
      <c r="K26" s="70">
        <v>8</v>
      </c>
      <c r="L26" s="70">
        <v>8</v>
      </c>
      <c r="M26" s="70">
        <v>8</v>
      </c>
      <c r="N26" s="70">
        <v>8</v>
      </c>
      <c r="O26" s="70">
        <v>8</v>
      </c>
      <c r="P26" s="70">
        <v>8</v>
      </c>
      <c r="Q26" s="60">
        <f>Q27/(Q31*3600)</f>
        <v>15.629175648374785</v>
      </c>
      <c r="R26" s="60">
        <f>R27/(R31*3600)</f>
        <v>6.2516702592994857</v>
      </c>
      <c r="S26" s="60"/>
      <c r="T26" s="60"/>
      <c r="W26" s="5" t="s">
        <v>156</v>
      </c>
      <c r="X26" s="64"/>
      <c r="Y26" s="64"/>
      <c r="Z26" s="64"/>
      <c r="AA26" s="64"/>
    </row>
    <row r="27" spans="1:27" x14ac:dyDescent="0.35">
      <c r="A27" s="6" t="s">
        <v>11</v>
      </c>
      <c r="B27" s="30" t="s">
        <v>9</v>
      </c>
      <c r="C27" s="30"/>
      <c r="D27" s="1"/>
      <c r="E27" s="71">
        <v>1973000</v>
      </c>
      <c r="F27" s="71">
        <v>1973000</v>
      </c>
      <c r="G27" s="71">
        <v>1973000</v>
      </c>
      <c r="H27" s="71">
        <v>1973000</v>
      </c>
      <c r="I27" s="66">
        <f t="shared" ref="I27" si="17">I31*I26*3600</f>
        <v>2064702.7461637605</v>
      </c>
      <c r="J27" s="66">
        <f>J31*J26*3600</f>
        <v>2057481.0912433092</v>
      </c>
      <c r="K27" s="66">
        <f>K31*K26*3600</f>
        <v>2064702.7460135117</v>
      </c>
      <c r="L27" s="66">
        <f t="shared" ref="L27" si="18">L31*L26*3600</f>
        <v>2049663.0870583139</v>
      </c>
      <c r="M27" s="66">
        <f t="shared" ref="M27" si="19">M31*M26*3600</f>
        <v>3711938.5768073625</v>
      </c>
      <c r="N27" s="66">
        <f>N31*N26*3600</f>
        <v>3736162.3068461171</v>
      </c>
      <c r="O27" s="66">
        <f>O31*O26*3600</f>
        <v>2002050.4702066036</v>
      </c>
      <c r="P27" s="66">
        <f t="shared" ref="P27" si="20">P31*P26*3600</f>
        <v>1968503.4603642125</v>
      </c>
      <c r="Q27" s="71">
        <v>2064702.7461800701</v>
      </c>
      <c r="R27" s="71">
        <v>2064702.7461637605</v>
      </c>
      <c r="S27" s="71"/>
      <c r="T27" s="71"/>
      <c r="W27" s="5"/>
      <c r="X27" s="64"/>
      <c r="Y27" s="64"/>
      <c r="Z27" s="64"/>
      <c r="AA27" s="64"/>
    </row>
    <row r="28" spans="1:27" x14ac:dyDescent="0.35">
      <c r="A28" s="6" t="s">
        <v>142</v>
      </c>
      <c r="B28" s="30"/>
      <c r="C28" s="30"/>
      <c r="D28" s="1"/>
      <c r="E28" s="79">
        <f t="shared" ref="E28:H28" si="21">E19*1000000-E27</f>
        <v>0</v>
      </c>
      <c r="F28" s="79">
        <f t="shared" si="21"/>
        <v>0</v>
      </c>
      <c r="G28" s="79">
        <f t="shared" si="21"/>
        <v>0</v>
      </c>
      <c r="H28" s="79">
        <f t="shared" si="21"/>
        <v>0</v>
      </c>
      <c r="I28" s="79">
        <f>I19*1000000-I27</f>
        <v>-211529.77878875774</v>
      </c>
      <c r="J28" s="79">
        <f>J19*1000000-J27</f>
        <v>-433366.72550789942</v>
      </c>
      <c r="K28" s="79">
        <f>K19*1000000-K27</f>
        <v>-211529.77217251039</v>
      </c>
      <c r="L28" s="79">
        <f t="shared" ref="L28" si="22">L19*1000000-L27</f>
        <v>247399.92744951905</v>
      </c>
      <c r="M28" s="79">
        <f>M19*1000000-M27</f>
        <v>69312.860554923769</v>
      </c>
      <c r="N28" s="79">
        <f>N19*1000000-N27</f>
        <v>29225.795474224724</v>
      </c>
      <c r="O28" s="79">
        <f>O19*1000000-O27</f>
        <v>-428289.32176188868</v>
      </c>
      <c r="P28" s="79">
        <f t="shared" ref="P28" si="23">P19*1000000-P27</f>
        <v>17369.342387515819</v>
      </c>
      <c r="Q28" s="79">
        <f>Q19*1000000-Q27</f>
        <v>0</v>
      </c>
      <c r="R28" s="79">
        <f>R19*1000000-R27</f>
        <v>0</v>
      </c>
      <c r="S28" s="79" t="e">
        <f t="shared" ref="S28" si="24">S19*1000000-S27</f>
        <v>#VALUE!</v>
      </c>
      <c r="T28" s="79" t="e">
        <f>T19*1000000-T27</f>
        <v>#VALUE!</v>
      </c>
      <c r="W28" s="8" t="s">
        <v>15</v>
      </c>
      <c r="X28" s="72">
        <f>(X24-X25)/1000000</f>
        <v>1</v>
      </c>
      <c r="Y28" s="72">
        <f>(Y24-Y25)/1000000</f>
        <v>0</v>
      </c>
      <c r="Z28" s="72">
        <f>(Z24-Z25)/1000000</f>
        <v>0</v>
      </c>
      <c r="AA28" s="72">
        <f>(AA24-AA25)/1000000</f>
        <v>0</v>
      </c>
    </row>
    <row r="29" spans="1:27" x14ac:dyDescent="0.35">
      <c r="A29" s="6" t="s">
        <v>143</v>
      </c>
      <c r="B29" s="30"/>
      <c r="C29" s="30"/>
      <c r="D29" s="1"/>
      <c r="E29" s="79">
        <f t="shared" ref="E29:H29" si="25">E24*1000000-E27</f>
        <v>0</v>
      </c>
      <c r="F29" s="79">
        <f t="shared" si="25"/>
        <v>0</v>
      </c>
      <c r="G29" s="79">
        <f t="shared" si="25"/>
        <v>0</v>
      </c>
      <c r="H29" s="79">
        <f t="shared" si="25"/>
        <v>0</v>
      </c>
      <c r="I29" s="79">
        <f t="shared" ref="I29:L29" si="26">I24*1000000-I27</f>
        <v>1.0053627192974091E-6</v>
      </c>
      <c r="J29" s="79">
        <f>J24*1000000-J27</f>
        <v>7221.6549368684646</v>
      </c>
      <c r="K29" s="79">
        <f>K24*1000000-K27</f>
        <v>2.8265640139579773E-5</v>
      </c>
      <c r="L29" s="79">
        <f t="shared" si="26"/>
        <v>11809.398815689608</v>
      </c>
      <c r="M29" s="79">
        <f>M24*1000000-M27</f>
        <v>0</v>
      </c>
      <c r="N29" s="79">
        <f>N24*1000000-N27</f>
        <v>29225.825315231457</v>
      </c>
      <c r="O29" s="79">
        <f>O24*1000000-O27</f>
        <v>6837.1328658852726</v>
      </c>
      <c r="P29" s="79">
        <f>P24*1000000-P27</f>
        <v>17369.28857656219</v>
      </c>
      <c r="Q29" s="79">
        <f>Q24*1000000-Q27</f>
        <v>0</v>
      </c>
      <c r="R29" s="79">
        <f t="shared" ref="R29:S29" si="27">R24*1000000-R27</f>
        <v>0</v>
      </c>
      <c r="S29" s="79" t="e">
        <f t="shared" si="27"/>
        <v>#VALUE!</v>
      </c>
      <c r="T29" s="79" t="e">
        <f>T24*1000000-T27</f>
        <v>#VALUE!</v>
      </c>
      <c r="W29" s="5" t="s">
        <v>16</v>
      </c>
      <c r="X29" s="65">
        <f>9.81*0.85*X35*X36/1000</f>
        <v>0</v>
      </c>
      <c r="Y29" s="65">
        <f>9.81*0.85*Y35*Y36/1000</f>
        <v>0</v>
      </c>
      <c r="Z29" s="65">
        <f>9.81*0.85*Z35*Z36/1000</f>
        <v>0</v>
      </c>
      <c r="AA29" s="65">
        <f>9.81*0.85*AA35*AA36/1000</f>
        <v>0</v>
      </c>
    </row>
    <row r="30" spans="1:27" x14ac:dyDescent="0.35">
      <c r="A30" s="75" t="s">
        <v>139</v>
      </c>
      <c r="B30" s="76"/>
      <c r="C30" s="76"/>
      <c r="D30" s="74"/>
      <c r="E30" s="77">
        <f>AVERAGE(E15-E21,E16-E20)</f>
        <v>167.87545479893495</v>
      </c>
      <c r="F30" s="77">
        <f>AVERAGE(F15-F21,F16-F20)</f>
        <v>157.06263096421208</v>
      </c>
      <c r="G30" s="77">
        <f>AVERAGE(G15-G21,G16-G20)</f>
        <v>167.60880958167326</v>
      </c>
      <c r="H30" s="77">
        <f>AVERAGE(H15-H21,H16-H20)</f>
        <v>154.75027486821065</v>
      </c>
      <c r="I30" s="77">
        <f t="shared" ref="I30" si="28">AVERAGE(I15-I21,I16-I20)</f>
        <v>163.93553221154684</v>
      </c>
      <c r="J30" s="77">
        <f t="shared" ref="J30:Q30" si="29">AVERAGE(J15-J21,J16-J20)</f>
        <v>164.51093766624143</v>
      </c>
      <c r="K30" s="77">
        <f t="shared" si="29"/>
        <v>163.93553222347646</v>
      </c>
      <c r="L30" s="77">
        <f t="shared" si="29"/>
        <v>165.13842967079231</v>
      </c>
      <c r="M30" s="77">
        <f t="shared" si="29"/>
        <v>91.186353585118695</v>
      </c>
      <c r="N30" s="77">
        <f t="shared" si="29"/>
        <v>90.595139009558949</v>
      </c>
      <c r="O30" s="77">
        <f t="shared" si="29"/>
        <v>169.06573964445002</v>
      </c>
      <c r="P30" s="77">
        <f t="shared" si="29"/>
        <v>171.94693855827572</v>
      </c>
      <c r="Q30" s="77">
        <f t="shared" si="29"/>
        <v>163.40415994412174</v>
      </c>
      <c r="R30" s="77">
        <f t="shared" ref="R30" si="30">AVERAGE(R15-R21,R16-R20)</f>
        <v>163.40415994409443</v>
      </c>
      <c r="S30" s="77">
        <f>AVERAGE(S15-S21,S16-S20)</f>
        <v>80.256499557392516</v>
      </c>
      <c r="T30" s="77">
        <f>AVERAGE(T15-T21,T16-T20)</f>
        <v>82.5</v>
      </c>
      <c r="W30" s="5" t="s">
        <v>18</v>
      </c>
      <c r="X30" s="70">
        <v>8</v>
      </c>
      <c r="Y30" s="70">
        <v>8</v>
      </c>
      <c r="Z30" s="70">
        <v>8</v>
      </c>
      <c r="AA30" s="70">
        <v>8</v>
      </c>
    </row>
    <row r="31" spans="1:27" x14ac:dyDescent="0.35">
      <c r="A31" s="12" t="s">
        <v>25</v>
      </c>
      <c r="B31" s="18" t="s">
        <v>26</v>
      </c>
      <c r="C31" s="18"/>
      <c r="D31" s="1"/>
      <c r="E31" s="67">
        <f>E27/E26/3600</f>
        <v>68.506944444444443</v>
      </c>
      <c r="F31" s="67">
        <f>F27/F26/3600</f>
        <v>68.506944444444443</v>
      </c>
      <c r="G31" s="67">
        <f>G27/G26/3600</f>
        <v>68.506944444444443</v>
      </c>
      <c r="H31" s="67">
        <f>H27/H26/3600</f>
        <v>68.506944444444443</v>
      </c>
      <c r="I31" s="67">
        <f>I25*1000/(9.81*0.85*I32)</f>
        <v>71.691067575130575</v>
      </c>
      <c r="J31" s="67">
        <f>J25*1000/(9.81*0.85*J32)</f>
        <v>71.440315668170456</v>
      </c>
      <c r="K31" s="67">
        <f>K25*1000/(9.81*0.85*K32)</f>
        <v>71.691067569913599</v>
      </c>
      <c r="L31" s="67">
        <f t="shared" ref="L31" si="31">L25*1000/(9.81*0.85*L32)</f>
        <v>71.168857189524786</v>
      </c>
      <c r="M31" s="67">
        <f>M25*1000/(9.81*0.85*M32)</f>
        <v>128.88675613914452</v>
      </c>
      <c r="N31" s="67">
        <f>N25*1000/(9.81*0.85*N32)</f>
        <v>129.72785787660129</v>
      </c>
      <c r="O31" s="67">
        <f>O25*1000/(9.81*0.85*O32)</f>
        <v>69.51564132661818</v>
      </c>
      <c r="P31" s="67">
        <f t="shared" ref="P31" si="32">P25*1000/(9.81*0.85*P32)</f>
        <v>68.3508145959796</v>
      </c>
      <c r="Q31" s="67">
        <f>Q25*1000/(9.81*0.85*Q32)</f>
        <v>36.696019899502119</v>
      </c>
      <c r="R31" s="67">
        <f>R25*1000/(9.81*0.85*R32)</f>
        <v>91.74004974877063</v>
      </c>
      <c r="S31" s="67">
        <f t="shared" ref="S31" si="33">S25*1000/(9.81*0.85*S32)</f>
        <v>0</v>
      </c>
      <c r="T31" s="67">
        <f>T25*1000/(9.81*0.85*T32)</f>
        <v>0</v>
      </c>
      <c r="V31" s="28"/>
      <c r="W31" s="6" t="s">
        <v>11</v>
      </c>
      <c r="X31" s="66">
        <f>X35*X30*3600</f>
        <v>0</v>
      </c>
      <c r="Y31" s="66">
        <f t="shared" ref="Y31:AA31" si="34">Y35*Y30*3600</f>
        <v>0</v>
      </c>
      <c r="Z31" s="66">
        <f t="shared" si="34"/>
        <v>0</v>
      </c>
      <c r="AA31" s="66">
        <f t="shared" si="34"/>
        <v>0</v>
      </c>
    </row>
    <row r="32" spans="1:27" x14ac:dyDescent="0.35">
      <c r="A32" s="12" t="s">
        <v>24</v>
      </c>
      <c r="B32" s="18" t="s">
        <v>21</v>
      </c>
      <c r="C32" s="7" t="s">
        <v>2</v>
      </c>
      <c r="D32" s="19"/>
      <c r="E32" s="67">
        <f t="shared" ref="E32:K32" si="35">IF($C$32="Avg Head",E$35,E$34)</f>
        <v>167.87545479893495</v>
      </c>
      <c r="F32" s="67">
        <f t="shared" si="35"/>
        <v>157.06263096421208</v>
      </c>
      <c r="G32" s="67">
        <f t="shared" si="35"/>
        <v>167.60880958167326</v>
      </c>
      <c r="H32" s="67">
        <f t="shared" si="35"/>
        <v>154.75027486821065</v>
      </c>
      <c r="I32" s="67">
        <f t="shared" si="35"/>
        <v>163.93553221154684</v>
      </c>
      <c r="J32" s="67">
        <f t="shared" si="35"/>
        <v>164.51093766624143</v>
      </c>
      <c r="K32" s="67">
        <f t="shared" si="35"/>
        <v>163.93553222347646</v>
      </c>
      <c r="L32" s="67">
        <f t="shared" ref="L32" si="36">IF($C$32="Avg Head",L$35,L$34)</f>
        <v>165.13842967079231</v>
      </c>
      <c r="M32" s="67">
        <f t="shared" ref="M32:R32" si="37">IF($C$32="Avg Head",M$35,M$34)</f>
        <v>91.186353585118695</v>
      </c>
      <c r="N32" s="67">
        <f t="shared" si="37"/>
        <v>90.595139009558949</v>
      </c>
      <c r="O32" s="67">
        <f t="shared" si="37"/>
        <v>169.06573964445002</v>
      </c>
      <c r="P32" s="67">
        <f t="shared" si="37"/>
        <v>171.94693855827572</v>
      </c>
      <c r="Q32" s="67">
        <f t="shared" si="37"/>
        <v>163.40415994412174</v>
      </c>
      <c r="R32" s="67">
        <f t="shared" si="37"/>
        <v>163.40415994409443</v>
      </c>
      <c r="S32" s="67">
        <f t="shared" ref="S32" si="38">IF($C$32="Avg Head",S$35,S$34)</f>
        <v>80.256499557392516</v>
      </c>
      <c r="T32" s="67">
        <f>IF($C$32="Avg Head",T$35,T$34)</f>
        <v>82.5</v>
      </c>
      <c r="V32" s="28"/>
      <c r="W32" s="6" t="s">
        <v>142</v>
      </c>
      <c r="X32" s="79">
        <f>X21*1000000-X31</f>
        <v>1000000</v>
      </c>
      <c r="Y32" s="79">
        <f>Y21*1000000-Y31</f>
        <v>1000000</v>
      </c>
      <c r="Z32" s="79">
        <f>Z21*1000000-Z31</f>
        <v>0</v>
      </c>
      <c r="AA32" s="79">
        <f>AA21*1000000-AA31</f>
        <v>0</v>
      </c>
    </row>
    <row r="33" spans="1:36" x14ac:dyDescent="0.35">
      <c r="A33" s="29" t="s">
        <v>20</v>
      </c>
      <c r="B33" s="7" t="s">
        <v>21</v>
      </c>
      <c r="C33" s="7"/>
      <c r="D33" s="1"/>
      <c r="E33" s="68">
        <f>E15-E21</f>
        <v>179.99486602278608</v>
      </c>
      <c r="F33" s="68">
        <f>F15-F21</f>
        <v>170.12526192842412</v>
      </c>
      <c r="G33" s="68">
        <f>G15-G21</f>
        <v>179.24802014285908</v>
      </c>
      <c r="H33" s="68">
        <f>H15-H21</f>
        <v>167.50054973642131</v>
      </c>
      <c r="I33" s="68">
        <f t="shared" ref="I33" si="39">I15-I21</f>
        <v>175.51299911478503</v>
      </c>
      <c r="J33" s="68">
        <f>J15-J21</f>
        <v>175.51299911491404</v>
      </c>
      <c r="K33" s="68">
        <f>K15-K21</f>
        <v>175.51299914028601</v>
      </c>
      <c r="L33" s="68">
        <f t="shared" ref="L33" si="40">L15-L21</f>
        <v>177.6313297332934</v>
      </c>
      <c r="M33" s="68">
        <f>M15-M21</f>
        <v>188.11833061850837</v>
      </c>
      <c r="N33" s="68">
        <f>N15-N21</f>
        <v>186.12767659767059</v>
      </c>
      <c r="O33" s="68">
        <f>O15-O21</f>
        <v>180.40950260854254</v>
      </c>
      <c r="P33" s="68">
        <f>P15-P21</f>
        <v>184.40683243306279</v>
      </c>
      <c r="Q33" s="68">
        <f t="shared" ref="Q33:S33" si="41">Q15-Q21</f>
        <v>175.51299911491316</v>
      </c>
      <c r="R33" s="68">
        <f t="shared" si="41"/>
        <v>175.51299911477662</v>
      </c>
      <c r="S33" s="68">
        <f t="shared" si="41"/>
        <v>-124.48700088521495</v>
      </c>
      <c r="T33" s="68">
        <f>T15-T21</f>
        <v>-120</v>
      </c>
      <c r="V33" s="28"/>
      <c r="W33" s="6" t="s">
        <v>143</v>
      </c>
      <c r="X33" s="79">
        <f t="shared" ref="X33:AA33" si="42">X28*1000000-X31</f>
        <v>1000000</v>
      </c>
      <c r="Y33" s="79">
        <f t="shared" si="42"/>
        <v>0</v>
      </c>
      <c r="Z33" s="79">
        <f t="shared" si="42"/>
        <v>0</v>
      </c>
      <c r="AA33" s="79">
        <f t="shared" si="42"/>
        <v>0</v>
      </c>
    </row>
    <row r="34" spans="1:36" x14ac:dyDescent="0.35">
      <c r="A34" s="29" t="s">
        <v>22</v>
      </c>
      <c r="B34" s="7" t="s">
        <v>21</v>
      </c>
      <c r="C34" s="7"/>
      <c r="D34" s="1"/>
      <c r="E34" s="68">
        <f>E16-E20</f>
        <v>155.75604357508382</v>
      </c>
      <c r="F34" s="68">
        <f>F16-F20</f>
        <v>144</v>
      </c>
      <c r="G34" s="68">
        <f>G16-G20</f>
        <v>155.96959902048746</v>
      </c>
      <c r="H34" s="68">
        <f>H16-H20</f>
        <v>142</v>
      </c>
      <c r="I34" s="68">
        <f t="shared" ref="I34" si="43">I16-I20</f>
        <v>152.35806530830865</v>
      </c>
      <c r="J34" s="68">
        <f>J16-J20</f>
        <v>153.5088762175688</v>
      </c>
      <c r="K34" s="68">
        <f>K16-K20</f>
        <v>152.35806530666687</v>
      </c>
      <c r="L34" s="68">
        <f t="shared" ref="L34" si="44">L16-L20</f>
        <v>152.64552960829121</v>
      </c>
      <c r="M34" s="68">
        <f>M16-M20</f>
        <v>-5.745623448270976</v>
      </c>
      <c r="N34" s="68">
        <f>N16-N20</f>
        <v>-4.9373985785526884</v>
      </c>
      <c r="O34" s="68">
        <f>O16-O20</f>
        <v>157.7219766803575</v>
      </c>
      <c r="P34" s="68">
        <f>P16-P20</f>
        <v>159.48704468348865</v>
      </c>
      <c r="Q34" s="68">
        <f t="shared" ref="Q34:S34" si="45">Q16-Q20</f>
        <v>151.29532077333033</v>
      </c>
      <c r="R34" s="68">
        <f t="shared" si="45"/>
        <v>151.29532077341224</v>
      </c>
      <c r="S34" s="68">
        <f t="shared" si="45"/>
        <v>285</v>
      </c>
      <c r="T34" s="68">
        <f>T16-T20</f>
        <v>285</v>
      </c>
      <c r="V34" s="28"/>
      <c r="W34" s="75" t="s">
        <v>139</v>
      </c>
      <c r="X34" s="77">
        <f>AVERAGE(X15-X23,X16-X22)</f>
        <v>151.60883340600648</v>
      </c>
      <c r="Y34" s="77">
        <f>AVERAGE(Y15-Y23,Y16-Y22)</f>
        <v>144</v>
      </c>
      <c r="Z34" s="77">
        <f>AVERAGE(Z15-Z23,Z16-Z22)</f>
        <v>164.87786631207581</v>
      </c>
      <c r="AA34" s="77">
        <f>AVERAGE(AA15-AA23,AA16-AA22)</f>
        <v>142</v>
      </c>
    </row>
    <row r="35" spans="1:36" x14ac:dyDescent="0.35">
      <c r="A35" s="5" t="s">
        <v>23</v>
      </c>
      <c r="B35" s="7" t="s">
        <v>21</v>
      </c>
      <c r="C35" s="2"/>
      <c r="D35" s="1"/>
      <c r="E35" s="68">
        <f>AVERAGE(E33:E34)</f>
        <v>167.87545479893495</v>
      </c>
      <c r="F35" s="68">
        <f>AVERAGE(F33:F34)</f>
        <v>157.06263096421208</v>
      </c>
      <c r="G35" s="68">
        <f>AVERAGE(G33:G34)</f>
        <v>167.60880958167326</v>
      </c>
      <c r="H35" s="68">
        <f>AVERAGE(H33:H34)</f>
        <v>154.75027486821065</v>
      </c>
      <c r="I35" s="68">
        <f t="shared" ref="I35" si="46">AVERAGE(I33:I34)</f>
        <v>163.93553221154684</v>
      </c>
      <c r="J35" s="68">
        <f>AVERAGE(J33:J34)</f>
        <v>164.51093766624143</v>
      </c>
      <c r="K35" s="68">
        <f>AVERAGE(K33:K34)</f>
        <v>163.93553222347646</v>
      </c>
      <c r="L35" s="68">
        <f t="shared" ref="L35" si="47">AVERAGE(L33:L34)</f>
        <v>165.13842967079231</v>
      </c>
      <c r="M35" s="68">
        <f t="shared" ref="M35" si="48">AVERAGE(M33:M34)</f>
        <v>91.186353585118695</v>
      </c>
      <c r="N35" s="68">
        <f t="shared" ref="N35" si="49">AVERAGE(N33:N34)</f>
        <v>90.595139009558949</v>
      </c>
      <c r="O35" s="68">
        <f>AVERAGE(O33:O34)</f>
        <v>169.06573964445002</v>
      </c>
      <c r="P35" s="68">
        <f t="shared" ref="P35" si="50">AVERAGE(P33:P34)</f>
        <v>171.94693855827572</v>
      </c>
      <c r="Q35" s="68">
        <f t="shared" ref="Q35" si="51">AVERAGE(Q33:Q34)</f>
        <v>163.40415994412174</v>
      </c>
      <c r="R35" s="68">
        <f t="shared" ref="R35" si="52">AVERAGE(R33:R34)</f>
        <v>163.40415994409443</v>
      </c>
      <c r="S35" s="68">
        <f t="shared" ref="S35" si="53">AVERAGE(S33:S34)</f>
        <v>80.256499557392516</v>
      </c>
      <c r="T35" s="68">
        <f>AVERAGE(T33:T34)</f>
        <v>82.5</v>
      </c>
      <c r="V35" s="28"/>
      <c r="W35" s="12" t="s">
        <v>25</v>
      </c>
      <c r="X35" s="67"/>
      <c r="Y35" s="67"/>
      <c r="Z35" s="67"/>
      <c r="AA35" s="67"/>
    </row>
    <row r="36" spans="1:36" x14ac:dyDescent="0.35">
      <c r="A36" s="12" t="s">
        <v>27</v>
      </c>
      <c r="B36" s="18" t="s">
        <v>21</v>
      </c>
      <c r="C36" s="18"/>
      <c r="D36" s="19"/>
      <c r="E36" s="67">
        <f t="shared" ref="E36:K36" si="54">E32-E43</f>
        <v>167.87545479893495</v>
      </c>
      <c r="F36" s="67">
        <f t="shared" si="54"/>
        <v>157.06263096421208</v>
      </c>
      <c r="G36" s="67">
        <f t="shared" si="54"/>
        <v>167.60880958167326</v>
      </c>
      <c r="H36" s="67">
        <f t="shared" si="54"/>
        <v>154.75027486821065</v>
      </c>
      <c r="I36" s="67">
        <f t="shared" si="54"/>
        <v>163.93553221154684</v>
      </c>
      <c r="J36" s="67">
        <f t="shared" si="54"/>
        <v>164.51093766624143</v>
      </c>
      <c r="K36" s="67">
        <f t="shared" si="54"/>
        <v>163.93553222347646</v>
      </c>
      <c r="L36" s="67">
        <f t="shared" ref="L36" si="55">L32-L43</f>
        <v>165.13842967079231</v>
      </c>
      <c r="M36" s="67">
        <f t="shared" ref="M36:R36" si="56">M32-M43</f>
        <v>91.186353585118695</v>
      </c>
      <c r="N36" s="67">
        <f t="shared" si="56"/>
        <v>90.595139009558949</v>
      </c>
      <c r="O36" s="67">
        <f t="shared" si="56"/>
        <v>169.06573964445002</v>
      </c>
      <c r="P36" s="67">
        <f t="shared" si="56"/>
        <v>171.94693855827572</v>
      </c>
      <c r="Q36" s="67">
        <f t="shared" si="56"/>
        <v>163.40415994412174</v>
      </c>
      <c r="R36" s="67">
        <f t="shared" si="56"/>
        <v>163.40415994409443</v>
      </c>
      <c r="S36" s="67">
        <f t="shared" ref="S36" si="57">S32-S43</f>
        <v>80.256499557392516</v>
      </c>
      <c r="T36" s="67">
        <f>T32-T43</f>
        <v>82.5</v>
      </c>
      <c r="V36" s="28"/>
      <c r="W36" s="12" t="s">
        <v>24</v>
      </c>
      <c r="X36" s="67">
        <f>IF($C$32="Avg Head",X$39,X$38)</f>
        <v>151.60883340600648</v>
      </c>
      <c r="Y36" s="67">
        <f>IF($C$32="Avg Head",Y$39,Y$38)</f>
        <v>144</v>
      </c>
      <c r="Z36" s="67">
        <f>IF($C$32="Avg Head",Z$39,Z$38)</f>
        <v>164.87786631207581</v>
      </c>
      <c r="AA36" s="67">
        <f>IF($C$32="Avg Head",AA$39,AA$38)</f>
        <v>142</v>
      </c>
    </row>
    <row r="37" spans="1:36" x14ac:dyDescent="0.35">
      <c r="A37" s="12" t="s">
        <v>50</v>
      </c>
      <c r="B37" s="18" t="s">
        <v>26</v>
      </c>
      <c r="C37" s="18"/>
      <c r="D37" s="19"/>
      <c r="E37" s="67">
        <f>E25*1000/(9.81/E63*E38)</f>
        <v>51.126763793534593</v>
      </c>
      <c r="F37" s="67">
        <f>F25*1000/(9.81/F63*F38)</f>
        <v>51.757847277618069</v>
      </c>
      <c r="G37" s="67">
        <f>G25*1000/(9.81/G63*G38)</f>
        <v>51.124775694648797</v>
      </c>
      <c r="H37" s="67">
        <f>H25*1000/(9.81/H63*H38)</f>
        <v>51.748257399171663</v>
      </c>
      <c r="I37" s="67"/>
      <c r="J37" s="67">
        <f>J25*1000/(9.81/J63*J38)</f>
        <v>53.681923319733251</v>
      </c>
      <c r="K37" s="67"/>
      <c r="L37" s="67"/>
      <c r="M37" s="67"/>
      <c r="N37" s="67"/>
      <c r="O37" s="67"/>
      <c r="P37" s="67"/>
      <c r="Q37" s="67">
        <f>Q25*1000/(9.81/Q63*Q38)</f>
        <v>27.570933026829014</v>
      </c>
      <c r="R37" s="67"/>
      <c r="S37" s="67"/>
      <c r="T37" s="67"/>
      <c r="V37" s="28"/>
      <c r="W37" s="29" t="s">
        <v>20</v>
      </c>
      <c r="X37" s="68">
        <f>X15-X23</f>
        <v>152.09865826417553</v>
      </c>
      <c r="Y37" s="68">
        <f>Y15-Y23</f>
        <v>144</v>
      </c>
      <c r="Z37" s="68">
        <f>Z15-Z23</f>
        <v>164.87786631207581</v>
      </c>
      <c r="AA37" s="68">
        <f>AA15-AA23</f>
        <v>142</v>
      </c>
    </row>
    <row r="38" spans="1:36" x14ac:dyDescent="0.35">
      <c r="A38" s="12" t="s">
        <v>51</v>
      </c>
      <c r="B38" s="18" t="s">
        <v>21</v>
      </c>
      <c r="C38" s="18"/>
      <c r="D38" s="1"/>
      <c r="E38" s="67">
        <f>E35+E46</f>
        <v>172.0817964145696</v>
      </c>
      <c r="F38" s="67">
        <f>F35+F46</f>
        <v>159.03499367309718</v>
      </c>
      <c r="G38" s="67">
        <f>G35+G46</f>
        <v>171.8151511973079</v>
      </c>
      <c r="H38" s="67">
        <f>H35+H46</f>
        <v>156.72263757709575</v>
      </c>
      <c r="I38" s="67"/>
      <c r="J38" s="67">
        <f>J35+J46</f>
        <v>167.48330037512653</v>
      </c>
      <c r="K38" s="67"/>
      <c r="L38" s="67"/>
      <c r="M38" s="67"/>
      <c r="N38" s="67"/>
      <c r="O38" s="67"/>
      <c r="P38" s="67"/>
      <c r="Q38" s="67">
        <f>Q35+Q46</f>
        <v>166.37652265300684</v>
      </c>
      <c r="R38" s="67"/>
      <c r="S38" s="67"/>
      <c r="T38" s="67"/>
      <c r="V38" s="28"/>
      <c r="W38" s="29" t="s">
        <v>22</v>
      </c>
      <c r="X38" s="68">
        <f>X16-X22</f>
        <v>151.11900854783744</v>
      </c>
      <c r="Y38" s="68">
        <f>Y16-Y22</f>
        <v>144</v>
      </c>
      <c r="Z38" s="68">
        <f>Z16-Z22</f>
        <v>164.87786631207581</v>
      </c>
      <c r="AA38" s="68">
        <f>AA16-AA22</f>
        <v>142</v>
      </c>
    </row>
    <row r="39" spans="1:36" s="37" customFormat="1" x14ac:dyDescent="0.35">
      <c r="A39" s="12"/>
      <c r="B39" s="18"/>
      <c r="C39" s="18"/>
      <c r="D39" s="1"/>
      <c r="E39" s="17"/>
      <c r="F39" s="17"/>
      <c r="G39" s="17"/>
      <c r="H39" s="17"/>
      <c r="I39" s="17"/>
      <c r="J39" s="17"/>
      <c r="K39" s="17"/>
      <c r="L39" s="17"/>
      <c r="M39" s="17"/>
      <c r="N39" s="17"/>
      <c r="O39" s="17"/>
      <c r="P39" s="17"/>
      <c r="Q39" s="17"/>
      <c r="R39" s="17"/>
      <c r="S39" s="17"/>
      <c r="T39" s="17"/>
      <c r="U39"/>
      <c r="V39" s="62"/>
      <c r="W39" s="5" t="s">
        <v>23</v>
      </c>
      <c r="X39" s="68">
        <f>AVERAGE(X37:X38)</f>
        <v>151.60883340600648</v>
      </c>
      <c r="Y39" s="68">
        <f>AVERAGE(Y37:Y38)</f>
        <v>144</v>
      </c>
      <c r="Z39" s="68">
        <f>AVERAGE(Z37:Z38)</f>
        <v>164.87786631207581</v>
      </c>
      <c r="AA39" s="68">
        <f>AVERAGE(AA37:AA38)</f>
        <v>142</v>
      </c>
      <c r="AB39"/>
      <c r="AC39"/>
      <c r="AD39"/>
      <c r="AE39"/>
      <c r="AF39"/>
      <c r="AG39"/>
      <c r="AH39"/>
      <c r="AI39"/>
      <c r="AJ39"/>
    </row>
    <row r="40" spans="1:36" x14ac:dyDescent="0.35">
      <c r="A40" s="5" t="s">
        <v>28</v>
      </c>
      <c r="B40" s="7" t="s">
        <v>26</v>
      </c>
      <c r="C40" s="18"/>
      <c r="D40" s="1"/>
      <c r="E40" s="4">
        <f t="shared" ref="E40:K40" si="58">E25*1000/(9.81*E55*(E49))</f>
        <v>70.518945884521031</v>
      </c>
      <c r="F40" s="4">
        <f t="shared" si="58"/>
        <v>71.363130412757656</v>
      </c>
      <c r="G40" s="4">
        <f t="shared" si="58"/>
        <v>70.310534994084037</v>
      </c>
      <c r="H40" s="4">
        <f t="shared" si="58"/>
        <v>71.302802743196395</v>
      </c>
      <c r="I40" s="4" t="e">
        <f t="shared" si="58"/>
        <v>#REF!</v>
      </c>
      <c r="J40" s="4">
        <f t="shared" si="58"/>
        <v>73.119559987717977</v>
      </c>
      <c r="K40" s="4">
        <f t="shared" si="58"/>
        <v>73.671856233176612</v>
      </c>
      <c r="L40" s="4">
        <f t="shared" ref="L40" si="59">L25*1000/(9.81*L55*(L49))</f>
        <v>73.53311631229073</v>
      </c>
      <c r="M40" s="4">
        <f t="shared" ref="M40:R40" si="60">M25*1000/(9.81*M55*(M49))</f>
        <v>-1953.5741567985058</v>
      </c>
      <c r="N40" s="4">
        <f t="shared" si="60"/>
        <v>-2273.3634533770942</v>
      </c>
      <c r="O40" s="4">
        <f t="shared" si="60"/>
        <v>71.166375919733085</v>
      </c>
      <c r="P40" s="4">
        <f t="shared" si="60"/>
        <v>70.378766535635378</v>
      </c>
      <c r="Q40" s="4">
        <f t="shared" si="60"/>
        <v>37.851709106188913</v>
      </c>
      <c r="R40" s="4" t="e">
        <f t="shared" si="60"/>
        <v>#REF!</v>
      </c>
      <c r="S40" s="4" t="e">
        <f t="shared" ref="S40" si="61">S25*1000/(9.81*S55*(S49))</f>
        <v>#DIV/0!</v>
      </c>
      <c r="T40" s="4" t="e">
        <f>T25*1000/(9.81*T55*(T49))</f>
        <v>#DIV/0!</v>
      </c>
      <c r="V40" s="28"/>
      <c r="W40" s="12" t="s">
        <v>27</v>
      </c>
      <c r="X40" s="67">
        <f>X36-X47</f>
        <v>151.60883340600648</v>
      </c>
      <c r="Y40" s="67">
        <f>Y36-Y47</f>
        <v>144</v>
      </c>
      <c r="Z40" s="67">
        <f>Z36-Z47</f>
        <v>164.87786631207581</v>
      </c>
      <c r="AA40" s="67">
        <f>AA36-AA47</f>
        <v>142</v>
      </c>
    </row>
    <row r="41" spans="1:36" x14ac:dyDescent="0.35">
      <c r="A41" s="5" t="s">
        <v>29</v>
      </c>
      <c r="B41" s="7" t="s">
        <v>26</v>
      </c>
      <c r="C41" s="18"/>
      <c r="D41" s="1"/>
      <c r="E41" s="17">
        <f t="shared" ref="E41:K41" si="62">E$25*1000/(9.81*$D$55*E$48)</f>
        <v>61.022584981218138</v>
      </c>
      <c r="F41" s="17">
        <f t="shared" si="62"/>
        <v>60.404261324579714</v>
      </c>
      <c r="G41" s="17">
        <f t="shared" si="62"/>
        <v>61.179509493065481</v>
      </c>
      <c r="H41" s="17">
        <f t="shared" si="62"/>
        <v>60.447550801872438</v>
      </c>
      <c r="I41" s="17" t="e">
        <f t="shared" si="62"/>
        <v>#REF!</v>
      </c>
      <c r="J41" s="17">
        <f t="shared" si="62"/>
        <v>63.952536506362428</v>
      </c>
      <c r="K41" s="17">
        <f t="shared" si="62"/>
        <v>63.952536497117514</v>
      </c>
      <c r="L41" s="17">
        <f t="shared" ref="L41" si="63">L$25*1000/(9.81*$D$55*L$48)</f>
        <v>63.189874782173007</v>
      </c>
      <c r="M41" s="17">
        <f t="shared" ref="M41:R41" si="64">M$25*1000/(9.81*$D$55*M$48)</f>
        <v>59.667239478114702</v>
      </c>
      <c r="N41" s="17">
        <f t="shared" si="64"/>
        <v>60.305386541198416</v>
      </c>
      <c r="O41" s="17">
        <f t="shared" si="64"/>
        <v>62.216797457686724</v>
      </c>
      <c r="P41" s="17">
        <f t="shared" si="64"/>
        <v>60.868143198067457</v>
      </c>
      <c r="Q41" s="17">
        <f t="shared" si="64"/>
        <v>32.628845156307527</v>
      </c>
      <c r="R41" s="17" t="e">
        <f t="shared" si="64"/>
        <v>#REF!</v>
      </c>
      <c r="S41" s="17" t="e">
        <f t="shared" ref="S41" si="65">S$25*1000/(9.81*$D$55*S$48)</f>
        <v>#DIV/0!</v>
      </c>
      <c r="T41" s="17" t="e">
        <f>T$25*1000/(9.81*$D$55*T$48)</f>
        <v>#DIV/0!</v>
      </c>
      <c r="V41" s="28"/>
      <c r="W41" s="12" t="s">
        <v>50</v>
      </c>
      <c r="X41" s="67">
        <f>X29*1000/(9.81/X67*X42)</f>
        <v>0</v>
      </c>
      <c r="Y41" s="67">
        <f>Y29*1000/(9.81/Y67*Y42)</f>
        <v>0</v>
      </c>
      <c r="Z41" s="67">
        <f>Z29*1000/(9.81/Z67*Z42)</f>
        <v>0</v>
      </c>
      <c r="AA41" s="67">
        <f>AA29*1000/(9.81/AA67*AA42)</f>
        <v>0</v>
      </c>
    </row>
    <row r="42" spans="1:36" x14ac:dyDescent="0.35">
      <c r="A42" s="5" t="s">
        <v>30</v>
      </c>
      <c r="B42" s="7"/>
      <c r="C42" s="18"/>
      <c r="D42" s="1"/>
      <c r="E42" s="17">
        <f t="shared" ref="E42:K42" si="66">E$25*1000/(9.81*$D$55*E$36)</f>
        <v>65.427980649188513</v>
      </c>
      <c r="F42" s="17">
        <f t="shared" si="66"/>
        <v>65.427980649188513</v>
      </c>
      <c r="G42" s="17">
        <f t="shared" si="66"/>
        <v>65.427980649188513</v>
      </c>
      <c r="H42" s="17">
        <f t="shared" si="66"/>
        <v>65.427980649188498</v>
      </c>
      <c r="I42" s="17">
        <f t="shared" si="66"/>
        <v>68.468997122315713</v>
      </c>
      <c r="J42" s="17">
        <f t="shared" si="66"/>
        <v>68.229514963983007</v>
      </c>
      <c r="K42" s="17">
        <f t="shared" si="66"/>
        <v>68.468997117333217</v>
      </c>
      <c r="L42" s="17">
        <f t="shared" ref="L42" si="67">L$25*1000/(9.81*$D$55*L$36)</f>
        <v>67.970256866400078</v>
      </c>
      <c r="M42" s="17">
        <f t="shared" ref="M42:R42" si="68">M$25*1000/(9.81*$D$55*M$36)</f>
        <v>123.09409294187959</v>
      </c>
      <c r="N42" s="17">
        <f t="shared" si="68"/>
        <v>123.8973923540574</v>
      </c>
      <c r="O42" s="17">
        <f t="shared" si="68"/>
        <v>66.391342840028599</v>
      </c>
      <c r="P42" s="17">
        <f t="shared" si="68"/>
        <v>65.278867872564788</v>
      </c>
      <c r="Q42" s="17">
        <f t="shared" si="68"/>
        <v>35.046760578176176</v>
      </c>
      <c r="R42" s="17">
        <f t="shared" si="68"/>
        <v>87.616901445455085</v>
      </c>
      <c r="S42" s="17">
        <f t="shared" ref="S42" si="69">S$25*1000/(9.81*$D$55*S$36)</f>
        <v>0</v>
      </c>
      <c r="T42" s="17">
        <f>T$25*1000/(9.81*$D$55*T$36)</f>
        <v>0</v>
      </c>
      <c r="V42" s="28"/>
      <c r="W42" s="12" t="s">
        <v>51</v>
      </c>
      <c r="X42" s="67">
        <f>X39+X50</f>
        <v>155.81517502164112</v>
      </c>
      <c r="Y42" s="67">
        <f>Y39+Y50</f>
        <v>145.9723627088851</v>
      </c>
      <c r="Z42" s="67">
        <f>Z39+Z50</f>
        <v>169.08420792771045</v>
      </c>
      <c r="AA42" s="67">
        <f>AA39+AA50</f>
        <v>143.9723627088851</v>
      </c>
    </row>
    <row r="43" spans="1:36" x14ac:dyDescent="0.35">
      <c r="A43" s="5" t="s">
        <v>31</v>
      </c>
      <c r="B43" s="15" t="s">
        <v>21</v>
      </c>
      <c r="C43" s="7"/>
      <c r="D43" s="1">
        <v>3</v>
      </c>
      <c r="E43" s="4">
        <f>E102</f>
        <v>0</v>
      </c>
      <c r="F43" s="4">
        <f>F102</f>
        <v>0</v>
      </c>
      <c r="G43" s="4">
        <f>G102</f>
        <v>0</v>
      </c>
      <c r="H43" s="4">
        <f>H102</f>
        <v>0</v>
      </c>
      <c r="I43" s="4">
        <f t="shared" ref="I43" si="70">I102</f>
        <v>0</v>
      </c>
      <c r="J43" s="4">
        <f>J102</f>
        <v>0</v>
      </c>
      <c r="K43" s="4">
        <f>K102</f>
        <v>0</v>
      </c>
      <c r="L43" s="4">
        <f t="shared" ref="L43" si="71">L102</f>
        <v>0</v>
      </c>
      <c r="M43" s="4">
        <f>M102</f>
        <v>0</v>
      </c>
      <c r="N43" s="4">
        <f>N102</f>
        <v>0</v>
      </c>
      <c r="O43" s="4">
        <f>O102</f>
        <v>0</v>
      </c>
      <c r="P43" s="4">
        <f>P102</f>
        <v>0</v>
      </c>
      <c r="Q43" s="4">
        <f t="shared" ref="Q43:S43" si="72">Q102</f>
        <v>0</v>
      </c>
      <c r="R43" s="4">
        <f t="shared" si="72"/>
        <v>0</v>
      </c>
      <c r="S43" s="4">
        <f t="shared" si="72"/>
        <v>0</v>
      </c>
      <c r="T43" s="4">
        <f>T102</f>
        <v>0</v>
      </c>
      <c r="V43" s="28"/>
      <c r="W43" s="12"/>
      <c r="X43" s="17"/>
      <c r="Y43" s="17"/>
      <c r="Z43" s="17"/>
      <c r="AA43" s="17"/>
    </row>
    <row r="44" spans="1:36" x14ac:dyDescent="0.35">
      <c r="A44" s="5" t="s">
        <v>135</v>
      </c>
      <c r="B44" s="15"/>
      <c r="C44" s="7"/>
      <c r="D44" s="1"/>
      <c r="E44" s="4"/>
      <c r="F44" s="4"/>
      <c r="G44" s="4"/>
      <c r="H44" s="4"/>
      <c r="I44" s="4"/>
      <c r="J44" s="4"/>
      <c r="K44" s="4"/>
      <c r="L44" s="4"/>
      <c r="M44" s="4"/>
      <c r="N44" s="4"/>
      <c r="O44" s="4"/>
      <c r="P44" s="4"/>
      <c r="Q44" s="4"/>
      <c r="R44" s="4"/>
      <c r="S44" s="4"/>
      <c r="T44" s="4"/>
      <c r="V44" s="28"/>
      <c r="W44" s="5" t="s">
        <v>28</v>
      </c>
      <c r="X44" s="4" t="e">
        <f>X29*1000/(9.81*X59*(X53))</f>
        <v>#DIV/0!</v>
      </c>
      <c r="Y44" s="4" t="e">
        <f>Y29*1000/(9.81*Y59*(Y53))</f>
        <v>#DIV/0!</v>
      </c>
      <c r="Z44" s="4" t="e">
        <f>Z29*1000/(9.81*Z59*(Z53))</f>
        <v>#DIV/0!</v>
      </c>
      <c r="AA44" s="4" t="e">
        <f>AA29*1000/(9.81*AA59*(AA53))</f>
        <v>#DIV/0!</v>
      </c>
    </row>
    <row r="45" spans="1:36" x14ac:dyDescent="0.35">
      <c r="A45" s="5" t="s">
        <v>32</v>
      </c>
      <c r="B45" s="32" t="s">
        <v>33</v>
      </c>
      <c r="C45" s="7"/>
      <c r="D45" s="1"/>
      <c r="E45" s="27">
        <f>E43/E31^2</f>
        <v>0</v>
      </c>
      <c r="F45" s="27">
        <f>F43/F31^2</f>
        <v>0</v>
      </c>
      <c r="G45" s="27">
        <f>G43/G31^2</f>
        <v>0</v>
      </c>
      <c r="H45" s="27">
        <f>H43/H31^2</f>
        <v>0</v>
      </c>
      <c r="I45" s="27">
        <f>I43/I32^2</f>
        <v>0</v>
      </c>
      <c r="J45" s="27">
        <f>J43/J31^2</f>
        <v>0</v>
      </c>
      <c r="K45" s="27">
        <f>K43/K31^2</f>
        <v>0</v>
      </c>
      <c r="L45" s="27">
        <f t="shared" ref="L45" si="73">L43/L31^2</f>
        <v>0</v>
      </c>
      <c r="M45" s="27">
        <f>M43/M31^2</f>
        <v>0</v>
      </c>
      <c r="N45" s="27">
        <f>N43/N31^2</f>
        <v>0</v>
      </c>
      <c r="O45" s="27">
        <f>O43/O31^2</f>
        <v>0</v>
      </c>
      <c r="P45" s="27">
        <f>P43/P31^2</f>
        <v>0</v>
      </c>
      <c r="Q45" s="27">
        <f>Q43/Q31^2</f>
        <v>0</v>
      </c>
      <c r="R45" s="27">
        <f>R43/R32^2</f>
        <v>0</v>
      </c>
      <c r="S45" s="27" t="e">
        <f t="shared" ref="S45" si="74">S43/S31^2</f>
        <v>#DIV/0!</v>
      </c>
      <c r="T45" s="27" t="e">
        <f>T43/T31^2</f>
        <v>#DIV/0!</v>
      </c>
      <c r="V45" s="28"/>
      <c r="W45" s="5" t="s">
        <v>29</v>
      </c>
      <c r="X45" s="17" t="e">
        <f>X$29*1000/(9.81*$D$55*X$52)</f>
        <v>#DIV/0!</v>
      </c>
      <c r="Y45" s="17" t="e">
        <f>Y$29*1000/(9.81*$D$55*Y$52)</f>
        <v>#DIV/0!</v>
      </c>
      <c r="Z45" s="17" t="e">
        <f>Z$29*1000/(9.81*$D$55*Z$52)</f>
        <v>#DIV/0!</v>
      </c>
      <c r="AA45" s="17" t="e">
        <f>AA$29*1000/(9.81*$D$55*AA$52)</f>
        <v>#DIV/0!</v>
      </c>
    </row>
    <row r="46" spans="1:36" x14ac:dyDescent="0.35">
      <c r="A46" s="5" t="s">
        <v>34</v>
      </c>
      <c r="B46" s="15" t="s">
        <v>21</v>
      </c>
      <c r="C46" s="7"/>
      <c r="D46" s="1"/>
      <c r="E46" s="4">
        <v>4.2063416156346491</v>
      </c>
      <c r="F46" s="4">
        <v>1.972362708885109</v>
      </c>
      <c r="G46" s="4">
        <v>4.2063416156346491</v>
      </c>
      <c r="H46" s="4">
        <v>1.972362708885109</v>
      </c>
      <c r="I46" s="4">
        <v>3.9723627088851101</v>
      </c>
      <c r="J46" s="4">
        <v>2.9723627088851101</v>
      </c>
      <c r="K46" s="4">
        <v>4.9723627088851101</v>
      </c>
      <c r="L46" s="4">
        <v>5.9723627088851101</v>
      </c>
      <c r="M46" s="4">
        <v>7.9723627088851101</v>
      </c>
      <c r="N46" s="4">
        <v>6.9723627088851101</v>
      </c>
      <c r="O46" s="4">
        <v>7.9723627088851101</v>
      </c>
      <c r="P46" s="4">
        <v>6.9723627088851101</v>
      </c>
      <c r="Q46" s="4">
        <v>2.9723627088851101</v>
      </c>
      <c r="R46" s="4">
        <v>3.9723627088851101</v>
      </c>
      <c r="S46" s="4">
        <v>5.9723627088851101</v>
      </c>
      <c r="T46" s="4">
        <v>4.9723627088851101</v>
      </c>
      <c r="V46" s="28"/>
      <c r="W46" s="5" t="s">
        <v>30</v>
      </c>
      <c r="X46" s="17">
        <f>X$29*1000/(9.81*$D$55*X$40)</f>
        <v>0</v>
      </c>
      <c r="Y46" s="17">
        <f>Y$29*1000/(9.81*$D$55*Y$40)</f>
        <v>0</v>
      </c>
      <c r="Z46" s="17">
        <f>Z$29*1000/(9.81*$D$55*Z$40)</f>
        <v>0</v>
      </c>
      <c r="AA46" s="17">
        <f>AA$29*1000/(9.81*$D$55*AA$40)</f>
        <v>0</v>
      </c>
    </row>
    <row r="47" spans="1:36" x14ac:dyDescent="0.35">
      <c r="A47" s="5" t="s">
        <v>136</v>
      </c>
      <c r="B47" s="15"/>
      <c r="C47" s="7"/>
      <c r="D47" s="1"/>
      <c r="E47" s="4"/>
      <c r="F47" s="4"/>
      <c r="G47" s="4"/>
      <c r="H47" s="4"/>
      <c r="I47" s="4"/>
      <c r="J47" s="4"/>
      <c r="K47" s="4"/>
      <c r="L47" s="4"/>
      <c r="M47" s="4"/>
      <c r="N47" s="4"/>
      <c r="O47" s="4"/>
      <c r="P47" s="4"/>
      <c r="Q47" s="4"/>
      <c r="R47" s="4"/>
      <c r="S47" s="4"/>
      <c r="T47" s="4"/>
      <c r="V47" s="28"/>
      <c r="W47" s="5" t="s">
        <v>31</v>
      </c>
      <c r="X47" s="4">
        <f>X106</f>
        <v>0</v>
      </c>
      <c r="Y47" s="4">
        <f>Y106</f>
        <v>0</v>
      </c>
      <c r="Z47" s="4">
        <f>Z106</f>
        <v>0</v>
      </c>
      <c r="AA47" s="4">
        <f>AA106</f>
        <v>0</v>
      </c>
    </row>
    <row r="48" spans="1:36" x14ac:dyDescent="0.35">
      <c r="A48" s="5" t="s">
        <v>35</v>
      </c>
      <c r="B48" s="42" t="s">
        <v>21</v>
      </c>
      <c r="C48" s="7"/>
      <c r="D48" s="1"/>
      <c r="E48" s="4">
        <f>E33-E45*(E31*E32/E33)^2</f>
        <v>179.99486602278608</v>
      </c>
      <c r="F48" s="4">
        <f>F33-F45*(F31*F32/F33)^2</f>
        <v>170.12526192842412</v>
      </c>
      <c r="G48" s="4">
        <f>G33-G45*(G31*G32/G33)^2</f>
        <v>179.24802014285908</v>
      </c>
      <c r="H48" s="4">
        <f>H33-H45*(H31*H32/H33)^2</f>
        <v>167.50054973642131</v>
      </c>
      <c r="I48" s="4" t="e">
        <f>I33-I45*(I32*#REF!/I33)^2</f>
        <v>#REF!</v>
      </c>
      <c r="J48" s="4">
        <f>J33-J45*(J31*J32/J33)^2</f>
        <v>175.51299911491404</v>
      </c>
      <c r="K48" s="4">
        <f>K33-K45*(K31*K32/K33)^2</f>
        <v>175.51299914028601</v>
      </c>
      <c r="L48" s="4">
        <f t="shared" ref="L48" si="75">L33-L45*(L31*L32/L33)^2</f>
        <v>177.6313297332934</v>
      </c>
      <c r="M48" s="4">
        <f>M33-M45*(M31*M32/M33)^2</f>
        <v>188.11833061850837</v>
      </c>
      <c r="N48" s="4">
        <f>N33-N45*(N31*N32/N33)^2</f>
        <v>186.12767659767059</v>
      </c>
      <c r="O48" s="4">
        <f>O33-O45*(O31*O32/O33)^2</f>
        <v>180.40950260854254</v>
      </c>
      <c r="P48" s="4">
        <f>P33-P45*(P31*P32/P33)^2</f>
        <v>184.40683243306279</v>
      </c>
      <c r="Q48" s="4">
        <f>Q33-Q45*(Q31*Q32/Q33)^2</f>
        <v>175.51299911491316</v>
      </c>
      <c r="R48" s="4" t="e">
        <f>R33-R45*(R32*#REF!/R33)^2</f>
        <v>#REF!</v>
      </c>
      <c r="S48" s="4" t="e">
        <f t="shared" ref="S48" si="76">S33-S45*(S31*S32/S33)^2</f>
        <v>#DIV/0!</v>
      </c>
      <c r="T48" s="4" t="e">
        <f>T33-T45*(T31*T32/T33)^2</f>
        <v>#DIV/0!</v>
      </c>
      <c r="V48" s="28"/>
      <c r="W48" s="5" t="s">
        <v>135</v>
      </c>
      <c r="X48" s="4"/>
      <c r="Y48" s="4"/>
      <c r="Z48" s="4"/>
      <c r="AA48" s="4"/>
    </row>
    <row r="49" spans="1:27" x14ac:dyDescent="0.35">
      <c r="A49" s="5" t="s">
        <v>36</v>
      </c>
      <c r="B49" s="42" t="s">
        <v>21</v>
      </c>
      <c r="C49" s="7"/>
      <c r="D49" s="1"/>
      <c r="E49" s="4">
        <f>E$34-E$45*(E$31*E$32/E$34)^2</f>
        <v>155.75604357508382</v>
      </c>
      <c r="F49" s="4">
        <f>F$34-F$45*(F$31*F$32/F$34)^2</f>
        <v>144</v>
      </c>
      <c r="G49" s="4">
        <f>G$34-G$45*(G$31*G$32/G$34)^2</f>
        <v>155.96959902048746</v>
      </c>
      <c r="H49" s="4">
        <f>H$34-H$45*(H$31*H$32/H$34)^2</f>
        <v>142</v>
      </c>
      <c r="I49" s="4" t="e">
        <f>I$34-I$45*(I$32*#REF!/I$34)^2</f>
        <v>#REF!</v>
      </c>
      <c r="J49" s="4">
        <f>J$34-J$45*(J$31*J$32/J$34)^2</f>
        <v>153.5088762175688</v>
      </c>
      <c r="K49" s="4">
        <f>K$34-K$45*(K$31*K$32/K$34)^2</f>
        <v>152.35806530666687</v>
      </c>
      <c r="L49" s="4">
        <f t="shared" ref="L49" si="77">L$34-L$45*(L$31*L$32/L$34)^2</f>
        <v>152.64552960829121</v>
      </c>
      <c r="M49" s="4">
        <f>M$34-M$45*(M$31*M$32/M$34)^2</f>
        <v>-5.745623448270976</v>
      </c>
      <c r="N49" s="4">
        <f>N$34-N$45*(N$31*N$32/N$34)^2</f>
        <v>-4.9373985785526884</v>
      </c>
      <c r="O49" s="4">
        <f>O$34-O$45*(O$31*O$32/O$34)^2</f>
        <v>157.7219766803575</v>
      </c>
      <c r="P49" s="4">
        <f>P$34-P$45*(P$31*P$32/P$34)^2</f>
        <v>159.48704468348865</v>
      </c>
      <c r="Q49" s="4">
        <f>Q$34-Q$45*(Q$31*Q$32/Q$34)^2</f>
        <v>151.29532077333033</v>
      </c>
      <c r="R49" s="4" t="e">
        <f>R$34-R$45*(R$32*#REF!/R$34)^2</f>
        <v>#REF!</v>
      </c>
      <c r="S49" s="4" t="e">
        <f t="shared" ref="S49" si="78">S$34-S$45*(S$31*S$32/S$34)^2</f>
        <v>#DIV/0!</v>
      </c>
      <c r="T49" s="4" t="e">
        <f>T$34-T$45*(T$31*T$32/T$34)^2</f>
        <v>#DIV/0!</v>
      </c>
      <c r="V49" s="28"/>
      <c r="W49" s="5" t="s">
        <v>32</v>
      </c>
      <c r="X49" s="27" t="e">
        <f>X47/X35^2</f>
        <v>#DIV/0!</v>
      </c>
      <c r="Y49" s="27" t="e">
        <f>Y47/Y35^2</f>
        <v>#DIV/0!</v>
      </c>
      <c r="Z49" s="27" t="e">
        <f>Z47/Z35^2</f>
        <v>#DIV/0!</v>
      </c>
      <c r="AA49" s="27" t="e">
        <f>AA47/AA35^2</f>
        <v>#DIV/0!</v>
      </c>
    </row>
    <row r="50" spans="1:27" x14ac:dyDescent="0.35">
      <c r="A50" s="5" t="s">
        <v>37</v>
      </c>
      <c r="B50" s="42" t="s">
        <v>21</v>
      </c>
      <c r="C50" s="7"/>
      <c r="D50" s="1"/>
      <c r="E50" s="4">
        <f>E32-E43</f>
        <v>167.87545479893495</v>
      </c>
      <c r="F50" s="4">
        <f>F32-F43</f>
        <v>157.06263096421208</v>
      </c>
      <c r="G50" s="4">
        <f>G32-G43</f>
        <v>167.60880958167326</v>
      </c>
      <c r="H50" s="4">
        <f>H32-H43</f>
        <v>154.75027486821065</v>
      </c>
      <c r="I50" s="4" t="e">
        <f>#REF!-I43</f>
        <v>#REF!</v>
      </c>
      <c r="J50" s="4">
        <f>J32-J43</f>
        <v>164.51093766624143</v>
      </c>
      <c r="K50" s="4">
        <f>K32-K43</f>
        <v>163.93553222347646</v>
      </c>
      <c r="L50" s="4">
        <f t="shared" ref="L50" si="79">L32-L43</f>
        <v>165.13842967079231</v>
      </c>
      <c r="M50" s="4">
        <f>M32-M43</f>
        <v>91.186353585118695</v>
      </c>
      <c r="N50" s="4">
        <f>N32-N43</f>
        <v>90.595139009558949</v>
      </c>
      <c r="O50" s="4">
        <f>O32-O43</f>
        <v>169.06573964445002</v>
      </c>
      <c r="P50" s="4">
        <f>P32-P43</f>
        <v>171.94693855827572</v>
      </c>
      <c r="Q50" s="4">
        <f>Q32-Q43</f>
        <v>163.40415994412174</v>
      </c>
      <c r="R50" s="4" t="e">
        <f>#REF!-R43</f>
        <v>#REF!</v>
      </c>
      <c r="S50" s="4">
        <f t="shared" ref="S50" si="80">S32-S43</f>
        <v>80.256499557392516</v>
      </c>
      <c r="T50" s="4">
        <f>T32-T43</f>
        <v>82.5</v>
      </c>
      <c r="V50" s="28"/>
      <c r="W50" s="5" t="s">
        <v>34</v>
      </c>
      <c r="X50" s="4">
        <v>4.2063416156346491</v>
      </c>
      <c r="Y50" s="4">
        <v>1.972362708885109</v>
      </c>
      <c r="Z50" s="4">
        <v>4.2063416156346491</v>
      </c>
      <c r="AA50" s="4">
        <v>1.972362708885109</v>
      </c>
    </row>
    <row r="51" spans="1:27" x14ac:dyDescent="0.35">
      <c r="A51" s="5" t="s">
        <v>38</v>
      </c>
      <c r="B51" s="42" t="s">
        <v>21</v>
      </c>
      <c r="C51" s="7"/>
      <c r="D51" s="1"/>
      <c r="E51" s="4">
        <f>E$33+E$45*(E$37*E$32/E$33)^2</f>
        <v>179.99486602278608</v>
      </c>
      <c r="F51" s="4">
        <f>F$33+F$45*(F$37*F$32/F$33)^2</f>
        <v>170.12526192842412</v>
      </c>
      <c r="G51" s="4">
        <f>G$33+G$45*(G$37*G$32/G$33)^2</f>
        <v>179.24802014285908</v>
      </c>
      <c r="H51" s="4">
        <f>H$33+H$45*(H$37*H$32/H$33)^2</f>
        <v>167.50054973642131</v>
      </c>
      <c r="I51" s="4" t="e">
        <f>I$33+I$45*(I$37*#REF!/I$33)^2</f>
        <v>#REF!</v>
      </c>
      <c r="J51" s="4">
        <f>J$33+J$45*(J$37*J$32/J$33)^2</f>
        <v>175.51299911491404</v>
      </c>
      <c r="K51" s="4">
        <f>K$33+K$45*(K$37*K$32/K$33)^2</f>
        <v>175.51299914028601</v>
      </c>
      <c r="L51" s="4">
        <f t="shared" ref="L51" si="81">L$33+L$45*(L$37*L$32/L$33)^2</f>
        <v>177.6313297332934</v>
      </c>
      <c r="M51" s="4">
        <f>M$33+M$45*(M$37*M$32/M$33)^2</f>
        <v>188.11833061850837</v>
      </c>
      <c r="N51" s="4">
        <f>N$33+N$45*(N$37*N$32/N$33)^2</f>
        <v>186.12767659767059</v>
      </c>
      <c r="O51" s="4">
        <f>O$33+O$45*(O$37*O$32/O$33)^2</f>
        <v>180.40950260854254</v>
      </c>
      <c r="P51" s="4">
        <f>P$33+P$45*(P$37*P$32/P$33)^2</f>
        <v>184.40683243306279</v>
      </c>
      <c r="Q51" s="4">
        <f>Q$33+Q$45*(Q$37*Q$32/Q$33)^2</f>
        <v>175.51299911491316</v>
      </c>
      <c r="R51" s="4" t="e">
        <f>R$33+R$45*(R$37*#REF!/R$33)^2</f>
        <v>#REF!</v>
      </c>
      <c r="S51" s="4" t="e">
        <f t="shared" ref="S51" si="82">S$33+S$45*(S$37*S$32/S$33)^2</f>
        <v>#DIV/0!</v>
      </c>
      <c r="T51" s="4" t="e">
        <f>T$33+T$45*(T$37*T$32/T$33)^2</f>
        <v>#DIV/0!</v>
      </c>
      <c r="V51" s="28"/>
      <c r="W51" s="5" t="s">
        <v>136</v>
      </c>
      <c r="X51" s="4"/>
      <c r="Y51" s="4"/>
      <c r="Z51" s="4"/>
      <c r="AA51" s="4"/>
    </row>
    <row r="52" spans="1:27" x14ac:dyDescent="0.35">
      <c r="A52" s="5" t="s">
        <v>39</v>
      </c>
      <c r="B52" s="42" t="s">
        <v>21</v>
      </c>
      <c r="C52" s="7"/>
      <c r="D52" s="1"/>
      <c r="E52" s="4">
        <f>E$34+E$45*(E$37*E$32/E$34)^2</f>
        <v>155.75604357508382</v>
      </c>
      <c r="F52" s="4">
        <f>F$34+F$45*(F$37*F$32/F$34)^2</f>
        <v>144</v>
      </c>
      <c r="G52" s="4">
        <f>G$34+G$45*(G$37*G$32/G$34)^2</f>
        <v>155.96959902048746</v>
      </c>
      <c r="H52" s="4">
        <f>H$34+H$45*(H$37*H$32/H$34)^2</f>
        <v>142</v>
      </c>
      <c r="I52" s="4" t="e">
        <f>I$34+I$45*(I$37*#REF!/I$34)^2</f>
        <v>#REF!</v>
      </c>
      <c r="J52" s="4">
        <f>J$34+J$45*(J$37*J$32/J$34)^2</f>
        <v>153.5088762175688</v>
      </c>
      <c r="K52" s="4">
        <f>K$34+K$45*(K$37*K$32/K$34)^2</f>
        <v>152.35806530666687</v>
      </c>
      <c r="L52" s="4">
        <f t="shared" ref="L52" si="83">L$34+L$45*(L$37*L$32/L$34)^2</f>
        <v>152.64552960829121</v>
      </c>
      <c r="M52" s="4">
        <f>M$34+M$45*(M$37*M$32/M$34)^2</f>
        <v>-5.745623448270976</v>
      </c>
      <c r="N52" s="4">
        <f>N$34+N$45*(N$37*N$32/N$34)^2</f>
        <v>-4.9373985785526884</v>
      </c>
      <c r="O52" s="4">
        <f>O$34+O$45*(O$37*O$32/O$34)^2</f>
        <v>157.7219766803575</v>
      </c>
      <c r="P52" s="4">
        <f>P$34+P$45*(P$37*P$32/P$34)^2</f>
        <v>159.48704468348865</v>
      </c>
      <c r="Q52" s="4">
        <f>Q$34+Q$45*(Q$37*Q$32/Q$34)^2</f>
        <v>151.29532077333033</v>
      </c>
      <c r="R52" s="4" t="e">
        <f>R$34+R$45*(R$37*#REF!/R$34)^2</f>
        <v>#REF!</v>
      </c>
      <c r="S52" s="4" t="e">
        <f t="shared" ref="S52" si="84">S$34+S$45*(S$37*S$32/S$34)^2</f>
        <v>#DIV/0!</v>
      </c>
      <c r="T52" s="4" t="e">
        <f>T$34+T$45*(T$37*T$32/T$34)^2</f>
        <v>#DIV/0!</v>
      </c>
      <c r="V52" s="28"/>
      <c r="W52" s="5" t="s">
        <v>35</v>
      </c>
      <c r="X52" s="4" t="e">
        <f>X37-X49*(X35*X36/X37)^2</f>
        <v>#DIV/0!</v>
      </c>
      <c r="Y52" s="4" t="e">
        <f>Y37-Y49*(Y35*Y36/Y37)^2</f>
        <v>#DIV/0!</v>
      </c>
      <c r="Z52" s="4" t="e">
        <f>Z37-Z49*(Z35*Z36/Z37)^2</f>
        <v>#DIV/0!</v>
      </c>
      <c r="AA52" s="4" t="e">
        <f>AA37-AA49*(AA35*AA36/AA37)^2</f>
        <v>#DIV/0!</v>
      </c>
    </row>
    <row r="53" spans="1:27" x14ac:dyDescent="0.35">
      <c r="A53" s="5" t="s">
        <v>40</v>
      </c>
      <c r="B53" s="42" t="s">
        <v>21</v>
      </c>
      <c r="C53" s="7"/>
      <c r="D53" s="1"/>
      <c r="E53" s="4">
        <f>E32+E46</f>
        <v>172.0817964145696</v>
      </c>
      <c r="F53" s="4">
        <f>F32+F46</f>
        <v>159.03499367309718</v>
      </c>
      <c r="G53" s="4">
        <f>G32+G46</f>
        <v>171.8151511973079</v>
      </c>
      <c r="H53" s="4">
        <f>H32+H46</f>
        <v>156.72263757709575</v>
      </c>
      <c r="I53" s="4" t="e">
        <f>#REF!+I46</f>
        <v>#REF!</v>
      </c>
      <c r="J53" s="4">
        <f>J32+J46</f>
        <v>167.48330037512653</v>
      </c>
      <c r="K53" s="4">
        <f>K32+K46</f>
        <v>168.90789493236156</v>
      </c>
      <c r="L53" s="4">
        <f t="shared" ref="L53" si="85">L32+L46</f>
        <v>171.11079237967741</v>
      </c>
      <c r="M53" s="4">
        <f>M32+M46</f>
        <v>99.15871629400381</v>
      </c>
      <c r="N53" s="4">
        <f>N32+N46</f>
        <v>97.567501718444063</v>
      </c>
      <c r="O53" s="4">
        <f>O32+O46</f>
        <v>177.03810235333512</v>
      </c>
      <c r="P53" s="4">
        <f>P32+P46</f>
        <v>178.91930126716082</v>
      </c>
      <c r="Q53" s="4">
        <f>Q32+Q46</f>
        <v>166.37652265300684</v>
      </c>
      <c r="R53" s="4" t="e">
        <f>#REF!+R46</f>
        <v>#REF!</v>
      </c>
      <c r="S53" s="4">
        <f t="shared" ref="S53" si="86">S32+S46</f>
        <v>86.228862266277631</v>
      </c>
      <c r="T53" s="4">
        <f>T32+T46</f>
        <v>87.472362708885115</v>
      </c>
      <c r="V53" s="28"/>
      <c r="W53" s="5" t="s">
        <v>36</v>
      </c>
      <c r="X53" s="4" t="e">
        <f>X$38-X$49*(X$35*X$36/X$38)^2</f>
        <v>#DIV/0!</v>
      </c>
      <c r="Y53" s="4" t="e">
        <f>Y$38-Y$49*(Y$35*Y$36/Y$38)^2</f>
        <v>#DIV/0!</v>
      </c>
      <c r="Z53" s="4" t="e">
        <f>Z$38-Z$49*(Z$35*Z$36/Z$38)^2</f>
        <v>#DIV/0!</v>
      </c>
      <c r="AA53" s="4" t="e">
        <f>AA$38-AA$49*(AA$35*AA$36/AA$38)^2</f>
        <v>#DIV/0!</v>
      </c>
    </row>
    <row r="54" spans="1:27" x14ac:dyDescent="0.35">
      <c r="A54" s="5"/>
      <c r="B54" s="15"/>
      <c r="C54" s="7"/>
      <c r="D54" s="1"/>
      <c r="E54" s="43">
        <f>E50/E32*E55*(1-$C$70)</f>
        <v>0.89</v>
      </c>
      <c r="F54" s="43">
        <f>F50/F32*F55*(1-$C$70)</f>
        <v>0.89</v>
      </c>
      <c r="G54" s="43">
        <f>G50/G32*G55*(1-$C$70)</f>
        <v>0.89</v>
      </c>
      <c r="H54" s="43">
        <f>H50/H32*H55*(1-$C$70)</f>
        <v>0.89</v>
      </c>
      <c r="I54" s="43" t="e">
        <f>I50/#REF!*I55*(1-$C$70)</f>
        <v>#REF!</v>
      </c>
      <c r="J54" s="43">
        <f>J50/J32*J55*(1-$C$70)</f>
        <v>0.89</v>
      </c>
      <c r="K54" s="43">
        <f>K50/K32*K55*(1-$C$70)</f>
        <v>0.89</v>
      </c>
      <c r="L54" s="43">
        <f t="shared" ref="L54" si="87">L50/L32*L55*(1-$C$70)</f>
        <v>0.89</v>
      </c>
      <c r="M54" s="43">
        <f>M50/M32*M55*(1-$C$70)</f>
        <v>0.89</v>
      </c>
      <c r="N54" s="43">
        <f>N50/N32*N55*(1-$C$70)</f>
        <v>0.89</v>
      </c>
      <c r="O54" s="43">
        <f>O50/O32*O55*(1-$C$70)</f>
        <v>0.89</v>
      </c>
      <c r="P54" s="43">
        <f t="shared" ref="P54" si="88">P50/P32*P55*(1-$C$70)</f>
        <v>0.89</v>
      </c>
      <c r="Q54" s="43">
        <f>Q50/Q32*Q55*(1-$C$70)</f>
        <v>0.89</v>
      </c>
      <c r="R54" s="43" t="e">
        <f>R50/#REF!*R55*(1-$C$70)</f>
        <v>#REF!</v>
      </c>
      <c r="S54" s="43">
        <f t="shared" ref="S54" si="89">S50/S32*S55*(1-$C$70)</f>
        <v>0.89</v>
      </c>
      <c r="T54" s="43">
        <f>T50/T32*T55*(1-$C$70)</f>
        <v>0.89</v>
      </c>
      <c r="V54" s="28"/>
      <c r="W54" s="5" t="s">
        <v>37</v>
      </c>
      <c r="X54" s="4">
        <f>X36-X47</f>
        <v>151.60883340600648</v>
      </c>
      <c r="Y54" s="4">
        <f>Y36-Y47</f>
        <v>144</v>
      </c>
      <c r="Z54" s="4">
        <f>Z36-Z47</f>
        <v>164.87786631207581</v>
      </c>
      <c r="AA54" s="4">
        <f>AA36-AA47</f>
        <v>142</v>
      </c>
    </row>
    <row r="55" spans="1:27" x14ac:dyDescent="0.35">
      <c r="A55" s="5" t="s">
        <v>41</v>
      </c>
      <c r="B55" s="7" t="s">
        <v>42</v>
      </c>
      <c r="C55" s="7"/>
      <c r="D55" s="9">
        <v>0.89</v>
      </c>
      <c r="E55" s="16">
        <f>$D$55</f>
        <v>0.89</v>
      </c>
      <c r="F55" s="16">
        <f>$D$55</f>
        <v>0.89</v>
      </c>
      <c r="G55" s="16">
        <f>$D$55</f>
        <v>0.89</v>
      </c>
      <c r="H55" s="16">
        <f>$D$55</f>
        <v>0.89</v>
      </c>
      <c r="I55" s="16">
        <f t="shared" ref="I55:T55" si="90">$D$55</f>
        <v>0.89</v>
      </c>
      <c r="J55" s="16">
        <f t="shared" si="90"/>
        <v>0.89</v>
      </c>
      <c r="K55" s="16">
        <f t="shared" si="90"/>
        <v>0.89</v>
      </c>
      <c r="L55" s="16">
        <f t="shared" si="90"/>
        <v>0.89</v>
      </c>
      <c r="M55" s="16">
        <f t="shared" si="90"/>
        <v>0.89</v>
      </c>
      <c r="N55" s="16">
        <f t="shared" si="90"/>
        <v>0.89</v>
      </c>
      <c r="O55" s="16">
        <f t="shared" si="90"/>
        <v>0.89</v>
      </c>
      <c r="P55" s="16">
        <f t="shared" si="90"/>
        <v>0.89</v>
      </c>
      <c r="Q55" s="16">
        <f t="shared" si="90"/>
        <v>0.89</v>
      </c>
      <c r="R55" s="16">
        <f t="shared" si="90"/>
        <v>0.89</v>
      </c>
      <c r="S55" s="16">
        <f t="shared" si="90"/>
        <v>0.89</v>
      </c>
      <c r="T55" s="16">
        <f t="shared" si="90"/>
        <v>0.89</v>
      </c>
      <c r="V55" s="28"/>
      <c r="W55" s="5" t="s">
        <v>38</v>
      </c>
      <c r="X55" s="4" t="e">
        <f>X$37+X$49*(X$41*X$36/X$37)^2</f>
        <v>#DIV/0!</v>
      </c>
      <c r="Y55" s="4" t="e">
        <f>Y$37+Y$49*(Y$41*Y$36/Y$37)^2</f>
        <v>#DIV/0!</v>
      </c>
      <c r="Z55" s="4" t="e">
        <f>Z$37+Z$49*(Z$41*Z$36/Z$37)^2</f>
        <v>#DIV/0!</v>
      </c>
      <c r="AA55" s="4" t="e">
        <f>AA$37+AA$49*(AA$41*AA$36/AA$37)^2</f>
        <v>#DIV/0!</v>
      </c>
    </row>
    <row r="56" spans="1:27" x14ac:dyDescent="0.35">
      <c r="A56" s="5" t="s">
        <v>43</v>
      </c>
      <c r="B56" s="7" t="s">
        <v>42</v>
      </c>
      <c r="C56" s="7"/>
      <c r="D56" s="1"/>
      <c r="E56" s="26">
        <f>E71/E72</f>
        <v>0.74630045476624218</v>
      </c>
      <c r="F56" s="26">
        <f>F71/F72</f>
        <v>0.75551241844673112</v>
      </c>
      <c r="G56" s="26">
        <f>G71/G72</f>
        <v>0.74627143436689569</v>
      </c>
      <c r="H56" s="26">
        <f>H71/H72</f>
        <v>0.75537243441264257</v>
      </c>
      <c r="I56" s="26" t="e">
        <f t="shared" ref="I56" si="91">I71/I72</f>
        <v>#DIV/0!</v>
      </c>
      <c r="J56" s="26">
        <f>J71/J72</f>
        <v>0.75142337792959546</v>
      </c>
      <c r="K56" s="26" t="e">
        <f>K71/K72</f>
        <v>#DIV/0!</v>
      </c>
      <c r="L56" s="26" t="e">
        <f t="shared" ref="L56" si="92">L71/L72</f>
        <v>#DIV/0!</v>
      </c>
      <c r="M56" s="26" t="e">
        <f>M71/M72</f>
        <v>#DIV/0!</v>
      </c>
      <c r="N56" s="26" t="e">
        <f>N71/N72</f>
        <v>#DIV/0!</v>
      </c>
      <c r="O56" s="26" t="e">
        <f>O71/O72</f>
        <v>#DIV/0!</v>
      </c>
      <c r="P56" s="26" t="e">
        <f>P71/P72</f>
        <v>#DIV/0!</v>
      </c>
      <c r="Q56" s="26">
        <f t="shared" ref="Q56:S56" si="93">Q71/Q72</f>
        <v>0.75133306288628554</v>
      </c>
      <c r="R56" s="26" t="e">
        <f t="shared" si="93"/>
        <v>#DIV/0!</v>
      </c>
      <c r="S56" s="26" t="e">
        <f t="shared" si="93"/>
        <v>#DIV/0!</v>
      </c>
      <c r="T56" s="26" t="e">
        <f>T71/T72</f>
        <v>#DIV/0!</v>
      </c>
      <c r="V56" s="28"/>
      <c r="W56" s="5" t="s">
        <v>39</v>
      </c>
      <c r="X56" s="4" t="e">
        <f>X$38+X$49*(X$41*X$36/X$38)^2</f>
        <v>#DIV/0!</v>
      </c>
      <c r="Y56" s="4" t="e">
        <f>Y$38+Y$49*(Y$41*Y$36/Y$38)^2</f>
        <v>#DIV/0!</v>
      </c>
      <c r="Z56" s="4" t="e">
        <f>Z$38+Z$49*(Z$41*Z$36/Z$38)^2</f>
        <v>#DIV/0!</v>
      </c>
      <c r="AA56" s="4" t="e">
        <f>AA$38+AA$49*(AA$41*AA$36/AA$38)^2</f>
        <v>#DIV/0!</v>
      </c>
    </row>
    <row r="57" spans="1:27" x14ac:dyDescent="0.35">
      <c r="A57" s="5" t="s">
        <v>44</v>
      </c>
      <c r="B57" s="7" t="s">
        <v>6</v>
      </c>
      <c r="C57" s="7"/>
      <c r="D57" s="24">
        <v>25</v>
      </c>
      <c r="E57" s="25">
        <f t="shared" ref="E57:K57" si="94">E21+E239</f>
        <v>120.00513397721393</v>
      </c>
      <c r="F57" s="25">
        <f t="shared" si="94"/>
        <v>121.31749007321534</v>
      </c>
      <c r="G57" s="25">
        <f t="shared" si="94"/>
        <v>122.62984616921673</v>
      </c>
      <c r="H57" s="25">
        <f t="shared" si="94"/>
        <v>123.94220226521814</v>
      </c>
      <c r="I57" s="25">
        <f t="shared" si="94"/>
        <v>124.48700088521495</v>
      </c>
      <c r="J57" s="25">
        <f t="shared" si="94"/>
        <v>124.48700088508596</v>
      </c>
      <c r="K57" s="25">
        <f t="shared" si="94"/>
        <v>124.48700088521495</v>
      </c>
      <c r="L57" s="25">
        <f t="shared" ref="L57" si="95">L21+L239</f>
        <v>124.48700088521495</v>
      </c>
      <c r="M57" s="25">
        <f t="shared" ref="M57:R57" si="96">M21+M239</f>
        <v>114</v>
      </c>
      <c r="N57" s="25">
        <f t="shared" si="96"/>
        <v>115.75018974150241</v>
      </c>
      <c r="O57" s="25">
        <f t="shared" si="96"/>
        <v>119.36735560093426</v>
      </c>
      <c r="P57" s="25">
        <f t="shared" si="96"/>
        <v>117.1350465900266</v>
      </c>
      <c r="Q57" s="25">
        <f t="shared" si="96"/>
        <v>124.48700088508686</v>
      </c>
      <c r="R57" s="25">
        <f t="shared" si="96"/>
        <v>124.48700088522337</v>
      </c>
      <c r="S57" s="25">
        <f t="shared" ref="S57" si="97">S21+S239</f>
        <v>124.48700088521495</v>
      </c>
      <c r="T57" s="25">
        <f>T21+T239</f>
        <v>120</v>
      </c>
      <c r="V57" s="28"/>
      <c r="W57" s="5" t="s">
        <v>40</v>
      </c>
      <c r="X57" s="4">
        <f>X36+X50</f>
        <v>155.81517502164112</v>
      </c>
      <c r="Y57" s="4">
        <f>Y36+Y50</f>
        <v>145.9723627088851</v>
      </c>
      <c r="Z57" s="4">
        <f>Z36+Z50</f>
        <v>169.08420792771045</v>
      </c>
      <c r="AA57" s="4">
        <f>AA36+AA50</f>
        <v>143.9723627088851</v>
      </c>
    </row>
    <row r="58" spans="1:27" x14ac:dyDescent="0.35">
      <c r="A58" s="5" t="s">
        <v>45</v>
      </c>
      <c r="B58" s="7"/>
      <c r="C58" s="7"/>
      <c r="D58" s="36">
        <v>1.6284000000000001</v>
      </c>
      <c r="E58" s="23">
        <f t="shared" ref="E58:K58" si="98">5*10^-7*(E33-E43)^2-0.001*(E33-E43)+$D$58</f>
        <v>1.4646042098744942</v>
      </c>
      <c r="F58" s="23">
        <f t="shared" si="98"/>
        <v>1.4727460404446835</v>
      </c>
      <c r="G58" s="23">
        <f t="shared" si="98"/>
        <v>1.4652169062197085</v>
      </c>
      <c r="H58" s="23">
        <f t="shared" si="98"/>
        <v>1.4749276673445804</v>
      </c>
      <c r="I58" s="23">
        <f t="shared" si="98"/>
        <v>1.4682894073143482</v>
      </c>
      <c r="J58" s="23">
        <f t="shared" si="98"/>
        <v>1.4682894073142418</v>
      </c>
      <c r="K58" s="23">
        <f t="shared" si="98"/>
        <v>1.468289407293323</v>
      </c>
      <c r="L58" s="23">
        <f t="shared" ref="L58" si="99">5*10^-7*(L33-L43)^2-0.001*(L33-L43)+$D$58</f>
        <v>1.4665451149181157</v>
      </c>
      <c r="M58" s="23">
        <f t="shared" ref="M58:R58" si="100">5*10^-7*(M33-M43)^2-0.001*(M33-M43)+$D$58</f>
        <v>1.4579759225388389</v>
      </c>
      <c r="N58" s="23">
        <f t="shared" si="100"/>
        <v>1.459594079400153</v>
      </c>
      <c r="O58" s="23">
        <f t="shared" si="100"/>
        <v>1.4642642917071884</v>
      </c>
      <c r="P58" s="23">
        <f t="shared" si="100"/>
        <v>1.460996107490935</v>
      </c>
      <c r="Q58" s="23">
        <f t="shared" si="100"/>
        <v>1.4682894073142427</v>
      </c>
      <c r="R58" s="23">
        <f t="shared" si="100"/>
        <v>1.4682894073143553</v>
      </c>
      <c r="S58" s="23">
        <f t="shared" ref="S58" si="101">5*10^-7*(S33-S43)^2-0.001*(S33-S43)+$D$58</f>
        <v>1.7606355075799127</v>
      </c>
      <c r="T58" s="23">
        <f>5*10^-7*(T33-T43)^2-0.001*(T33-T43)+$D$58</f>
        <v>1.7556</v>
      </c>
      <c r="V58" s="28"/>
      <c r="W58" s="5"/>
      <c r="X58" s="43">
        <f>X54/X36*X59*(1-$C$70)</f>
        <v>0.89</v>
      </c>
      <c r="Y58" s="43">
        <f>Y54/Y36*Y59*(1-$C$70)</f>
        <v>0.89</v>
      </c>
      <c r="Z58" s="43">
        <f>Z54/Z36*Z59*(1-$C$70)</f>
        <v>0.89</v>
      </c>
      <c r="AA58" s="43">
        <f>AA54/AA36*AA59*(1-$C$70)</f>
        <v>0.89</v>
      </c>
    </row>
    <row r="59" spans="1:27" x14ac:dyDescent="0.35">
      <c r="A59" s="22" t="s">
        <v>46</v>
      </c>
      <c r="B59" s="21"/>
      <c r="C59" s="21"/>
      <c r="D59" s="1"/>
      <c r="E59" s="20">
        <f>E51/E49</f>
        <v>1.1556204298166939</v>
      </c>
      <c r="F59" s="20">
        <f>F51/F49</f>
        <v>1.1814254300585008</v>
      </c>
      <c r="G59" s="20">
        <f>G51/G49</f>
        <v>1.1492497337209533</v>
      </c>
      <c r="H59" s="20">
        <f>H51/H49</f>
        <v>1.1795813361719811</v>
      </c>
      <c r="I59" s="20" t="e">
        <f t="shared" ref="I59" si="102">I51/I49</f>
        <v>#REF!</v>
      </c>
      <c r="J59" s="20">
        <f>J51/J49</f>
        <v>1.143341046065367</v>
      </c>
      <c r="K59" s="20">
        <f>K51/K49</f>
        <v>1.1519770796971778</v>
      </c>
      <c r="L59" s="20">
        <f t="shared" ref="L59" si="103">L51/L49</f>
        <v>1.1636851088211957</v>
      </c>
      <c r="M59" s="20">
        <f>M51/M49</f>
        <v>-32.741151993717686</v>
      </c>
      <c r="N59" s="20">
        <f>N51/N49</f>
        <v>-37.697518974097214</v>
      </c>
      <c r="O59" s="20">
        <f>O51/O49</f>
        <v>1.1438450519432941</v>
      </c>
      <c r="P59" s="20">
        <f>P51/P49</f>
        <v>1.1562496050950652</v>
      </c>
      <c r="Q59" s="20">
        <f t="shared" ref="Q59:S59" si="104">Q51/Q49</f>
        <v>1.1600689183102073</v>
      </c>
      <c r="R59" s="20" t="e">
        <f t="shared" si="104"/>
        <v>#REF!</v>
      </c>
      <c r="S59" s="20" t="e">
        <f t="shared" si="104"/>
        <v>#DIV/0!</v>
      </c>
      <c r="T59" s="20" t="e">
        <f>T51/T49</f>
        <v>#DIV/0!</v>
      </c>
      <c r="V59" s="28"/>
      <c r="W59" s="5" t="s">
        <v>41</v>
      </c>
      <c r="X59" s="16">
        <f>$D$55</f>
        <v>0.89</v>
      </c>
      <c r="Y59" s="16">
        <f>$D$55</f>
        <v>0.89</v>
      </c>
      <c r="Z59" s="16">
        <f>$D$55</f>
        <v>0.89</v>
      </c>
      <c r="AA59" s="16">
        <f>$D$55</f>
        <v>0.89</v>
      </c>
    </row>
    <row r="60" spans="1:27" x14ac:dyDescent="0.35">
      <c r="A60" s="22" t="s">
        <v>47</v>
      </c>
      <c r="B60" s="21"/>
      <c r="C60" s="21"/>
      <c r="D60" s="1"/>
      <c r="E60" s="20" t="str">
        <f>IF(E59&lt;=E58,"OK","Out of Range")</f>
        <v>OK</v>
      </c>
      <c r="F60" s="20" t="str">
        <f>IF(F59&lt;=F58,"OK","Out of Range")</f>
        <v>OK</v>
      </c>
      <c r="G60" s="20" t="str">
        <f>IF(G59&lt;=G58,"OK","Out of Range")</f>
        <v>OK</v>
      </c>
      <c r="H60" s="20" t="str">
        <f>IF(H59&lt;=H58,"OK","Out of Range")</f>
        <v>OK</v>
      </c>
      <c r="I60" s="20" t="e">
        <f t="shared" ref="I60" si="105">IF(I59&lt;=I58,"OK","Out of Range")</f>
        <v>#REF!</v>
      </c>
      <c r="J60" s="20" t="str">
        <f>IF(J59&lt;=J58,"OK","Out of Range")</f>
        <v>OK</v>
      </c>
      <c r="K60" s="20" t="str">
        <f>IF(K59&lt;=K58,"OK","Out of Range")</f>
        <v>OK</v>
      </c>
      <c r="L60" s="20" t="str">
        <f t="shared" ref="L60" si="106">IF(L59&lt;=L58,"OK","Out of Range")</f>
        <v>OK</v>
      </c>
      <c r="M60" s="20" t="str">
        <f t="shared" ref="M60" si="107">IF(M59&lt;=M58,"OK","Out of Range")</f>
        <v>OK</v>
      </c>
      <c r="N60" s="20" t="str">
        <f t="shared" ref="N60" si="108">IF(N59&lt;=N58,"OK","Out of Range")</f>
        <v>OK</v>
      </c>
      <c r="O60" s="20" t="str">
        <f>IF(O59&lt;=O58,"OK","Out of Range")</f>
        <v>OK</v>
      </c>
      <c r="P60" s="20" t="str">
        <f t="shared" ref="P60" si="109">IF(P59&lt;=P58,"OK","Out of Range")</f>
        <v>OK</v>
      </c>
      <c r="Q60" s="20" t="str">
        <f t="shared" ref="Q60" si="110">IF(Q59&lt;=Q58,"OK","Out of Range")</f>
        <v>OK</v>
      </c>
      <c r="R60" s="20" t="e">
        <f t="shared" ref="R60" si="111">IF(R59&lt;=R58,"OK","Out of Range")</f>
        <v>#REF!</v>
      </c>
      <c r="S60" s="20" t="e">
        <f t="shared" ref="S60" si="112">IF(S59&lt;=S58,"OK","Out of Range")</f>
        <v>#DIV/0!</v>
      </c>
      <c r="T60" s="20" t="e">
        <f>IF(T59&lt;=T58,"OK","Out of Range")</f>
        <v>#DIV/0!</v>
      </c>
      <c r="V60" s="28"/>
      <c r="W60" s="5" t="s">
        <v>43</v>
      </c>
      <c r="X60" s="26" t="e">
        <f>X75/X76</f>
        <v>#DIV/0!</v>
      </c>
      <c r="Y60" s="26" t="e">
        <f>Y75/Y76</f>
        <v>#DIV/0!</v>
      </c>
      <c r="Z60" s="26" t="e">
        <f>Z75/Z76</f>
        <v>#DIV/0!</v>
      </c>
      <c r="AA60" s="26" t="e">
        <f>AA75/AA76</f>
        <v>#DIV/0!</v>
      </c>
    </row>
    <row r="61" spans="1:27" x14ac:dyDescent="0.35">
      <c r="A61" s="22" t="s">
        <v>48</v>
      </c>
      <c r="B61" s="21"/>
      <c r="C61" s="21"/>
      <c r="D61" s="1"/>
      <c r="E61" s="20">
        <f t="shared" ref="E61:K61" si="113">E33-E34</f>
        <v>24.238822447702262</v>
      </c>
      <c r="F61" s="20">
        <f t="shared" si="113"/>
        <v>26.125261928424123</v>
      </c>
      <c r="G61" s="20">
        <f t="shared" si="113"/>
        <v>23.278421122371611</v>
      </c>
      <c r="H61" s="20">
        <f t="shared" si="113"/>
        <v>25.500549736421306</v>
      </c>
      <c r="I61" s="20">
        <f t="shared" si="113"/>
        <v>23.154933806476379</v>
      </c>
      <c r="J61" s="20">
        <f t="shared" si="113"/>
        <v>22.004122897345241</v>
      </c>
      <c r="K61" s="20">
        <f t="shared" si="113"/>
        <v>23.15493383361914</v>
      </c>
      <c r="L61" s="20">
        <f t="shared" ref="L61" si="114">L33-L34</f>
        <v>24.985800125002186</v>
      </c>
      <c r="M61" s="20">
        <f t="shared" ref="M61:R61" si="115">M33-M34</f>
        <v>193.86395406677934</v>
      </c>
      <c r="N61" s="20">
        <f t="shared" si="115"/>
        <v>191.06507517622327</v>
      </c>
      <c r="O61" s="20">
        <f t="shared" si="115"/>
        <v>22.687525928185039</v>
      </c>
      <c r="P61" s="20">
        <f t="shared" si="115"/>
        <v>24.919787749574141</v>
      </c>
      <c r="Q61" s="20">
        <f t="shared" si="115"/>
        <v>24.217678341582825</v>
      </c>
      <c r="R61" s="20">
        <f t="shared" si="115"/>
        <v>24.217678341364376</v>
      </c>
      <c r="S61" s="20">
        <f t="shared" ref="S61" si="116">S33-S34</f>
        <v>-409.48700088521497</v>
      </c>
      <c r="T61" s="20">
        <f>T33-T34</f>
        <v>-405</v>
      </c>
      <c r="V61" s="28"/>
      <c r="W61" s="5" t="s">
        <v>44</v>
      </c>
      <c r="X61" s="25">
        <f>X23+X243</f>
        <v>127.90134173582449</v>
      </c>
      <c r="Y61" s="25">
        <f>Y23+Y243</f>
        <v>136</v>
      </c>
      <c r="Z61" s="25">
        <f>Z23+Z243</f>
        <v>137</v>
      </c>
      <c r="AA61" s="25">
        <f>AA23+AA243</f>
        <v>138</v>
      </c>
    </row>
    <row r="62" spans="1:27" x14ac:dyDescent="0.35">
      <c r="A62" s="8" t="s">
        <v>49</v>
      </c>
      <c r="B62" s="11"/>
      <c r="C62" s="11"/>
      <c r="D62" s="10"/>
      <c r="E62" s="14"/>
      <c r="F62" s="14"/>
      <c r="G62" s="14"/>
      <c r="H62" s="14"/>
      <c r="I62" s="14"/>
      <c r="J62" s="14"/>
      <c r="K62" s="14"/>
      <c r="L62" s="14"/>
      <c r="M62" s="14"/>
      <c r="N62" s="14"/>
      <c r="O62" s="14"/>
      <c r="P62" s="14"/>
      <c r="Q62" s="14"/>
      <c r="R62" s="14"/>
      <c r="S62" s="14"/>
      <c r="T62" s="14"/>
      <c r="V62" s="28"/>
      <c r="W62" s="5" t="s">
        <v>45</v>
      </c>
      <c r="X62" s="23">
        <f>5*10^-7*(X37-X47)^2-0.001*(X37-X47)+$D$58</f>
        <v>1.4878683426587058</v>
      </c>
      <c r="Y62" s="23">
        <f>5*10^-7*(Y37-Y47)^2-0.001*(Y37-Y47)+$D$58</f>
        <v>1.4947680000000001</v>
      </c>
      <c r="Z62" s="23">
        <f>5*10^-7*(Z37-Z47)^2-0.001*(Z37-Z47)+$D$58</f>
        <v>1.4771144890877357</v>
      </c>
      <c r="AA62" s="23">
        <f>5*10^-7*(AA37-AA47)^2-0.001*(AA37-AA47)+$D$58</f>
        <v>1.4964820000000001</v>
      </c>
    </row>
    <row r="63" spans="1:27" x14ac:dyDescent="0.35">
      <c r="A63" s="5" t="s">
        <v>52</v>
      </c>
      <c r="B63" s="7" t="s">
        <v>42</v>
      </c>
      <c r="C63" s="7"/>
      <c r="D63" s="9">
        <v>0.9</v>
      </c>
      <c r="E63" s="16">
        <f>$D$63</f>
        <v>0.9</v>
      </c>
      <c r="F63" s="16">
        <f>$D$63</f>
        <v>0.9</v>
      </c>
      <c r="G63" s="16">
        <f>$D$63</f>
        <v>0.9</v>
      </c>
      <c r="H63" s="16">
        <f>$D$63</f>
        <v>0.9</v>
      </c>
      <c r="I63" s="16">
        <f t="shared" ref="I63:T63" si="117">$D$63</f>
        <v>0.9</v>
      </c>
      <c r="J63" s="16">
        <f t="shared" si="117"/>
        <v>0.9</v>
      </c>
      <c r="K63" s="16">
        <f t="shared" si="117"/>
        <v>0.9</v>
      </c>
      <c r="L63" s="16">
        <f t="shared" si="117"/>
        <v>0.9</v>
      </c>
      <c r="M63" s="16">
        <f t="shared" si="117"/>
        <v>0.9</v>
      </c>
      <c r="N63" s="16">
        <f t="shared" si="117"/>
        <v>0.9</v>
      </c>
      <c r="O63" s="16">
        <f t="shared" si="117"/>
        <v>0.9</v>
      </c>
      <c r="P63" s="16">
        <f t="shared" si="117"/>
        <v>0.9</v>
      </c>
      <c r="Q63" s="16">
        <f t="shared" si="117"/>
        <v>0.9</v>
      </c>
      <c r="R63" s="16">
        <f t="shared" si="117"/>
        <v>0.9</v>
      </c>
      <c r="S63" s="16">
        <f t="shared" si="117"/>
        <v>0.9</v>
      </c>
      <c r="T63" s="16">
        <f t="shared" si="117"/>
        <v>0.9</v>
      </c>
      <c r="V63" s="28"/>
      <c r="W63" s="22" t="s">
        <v>46</v>
      </c>
      <c r="X63" s="20" t="e">
        <f>X55/X53</f>
        <v>#DIV/0!</v>
      </c>
      <c r="Y63" s="20" t="e">
        <f>Y55/Y53</f>
        <v>#DIV/0!</v>
      </c>
      <c r="Z63" s="20" t="e">
        <f>Z55/Z53</f>
        <v>#DIV/0!</v>
      </c>
      <c r="AA63" s="20" t="e">
        <f>AA55/AA53</f>
        <v>#DIV/0!</v>
      </c>
    </row>
    <row r="64" spans="1:27" x14ac:dyDescent="0.35">
      <c r="A64" s="5" t="s">
        <v>53</v>
      </c>
      <c r="B64" s="7" t="s">
        <v>54</v>
      </c>
      <c r="C64" s="7"/>
      <c r="D64" s="1"/>
      <c r="E64" s="4">
        <f t="shared" ref="E64:K64" si="118">E27/E37/3600</f>
        <v>10.719543246835855</v>
      </c>
      <c r="F64" s="4">
        <f t="shared" si="118"/>
        <v>10.588839845210375</v>
      </c>
      <c r="G64" s="4">
        <f t="shared" si="118"/>
        <v>10.719960099754926</v>
      </c>
      <c r="H64" s="4">
        <f t="shared" si="118"/>
        <v>10.590802146785494</v>
      </c>
      <c r="I64" s="4" t="e">
        <f t="shared" si="118"/>
        <v>#DIV/0!</v>
      </c>
      <c r="J64" s="4">
        <f t="shared" si="118"/>
        <v>10.646461415723426</v>
      </c>
      <c r="K64" s="4" t="e">
        <f t="shared" si="118"/>
        <v>#DIV/0!</v>
      </c>
      <c r="L64" s="4" t="e">
        <f t="shared" ref="L64" si="119">L27/L37/3600</f>
        <v>#DIV/0!</v>
      </c>
      <c r="M64" s="4" t="e">
        <f t="shared" ref="M64:R64" si="120">M27/M37/3600</f>
        <v>#DIV/0!</v>
      </c>
      <c r="N64" s="4" t="e">
        <f t="shared" si="120"/>
        <v>#DIV/0!</v>
      </c>
      <c r="O64" s="4" t="e">
        <f t="shared" si="120"/>
        <v>#DIV/0!</v>
      </c>
      <c r="P64" s="4" t="e">
        <f t="shared" si="120"/>
        <v>#DIV/0!</v>
      </c>
      <c r="Q64" s="4">
        <f t="shared" si="120"/>
        <v>20.801927161749653</v>
      </c>
      <c r="R64" s="4" t="e">
        <f t="shared" si="120"/>
        <v>#DIV/0!</v>
      </c>
      <c r="S64" s="4" t="e">
        <f t="shared" ref="S64" si="121">S27/S37/3600</f>
        <v>#DIV/0!</v>
      </c>
      <c r="T64" s="4" t="e">
        <f>T27/T37/3600</f>
        <v>#DIV/0!</v>
      </c>
      <c r="V64" s="28"/>
      <c r="W64" s="22" t="s">
        <v>47</v>
      </c>
      <c r="X64" s="20" t="e">
        <f>IF(X63&lt;=X62,"OK","Out of Range")</f>
        <v>#DIV/0!</v>
      </c>
      <c r="Y64" s="20" t="e">
        <f>IF(Y63&lt;=Y62,"OK","Out of Range")</f>
        <v>#DIV/0!</v>
      </c>
      <c r="Z64" s="20" t="e">
        <f>IF(Z63&lt;=Z62,"OK","Out of Range")</f>
        <v>#DIV/0!</v>
      </c>
      <c r="AA64" s="20" t="e">
        <f>IF(AA63&lt;=AA62,"OK","Out of Range")</f>
        <v>#DIV/0!</v>
      </c>
    </row>
    <row r="65" spans="1:27" x14ac:dyDescent="0.35">
      <c r="A65" s="5" t="s">
        <v>55</v>
      </c>
      <c r="B65" s="7"/>
      <c r="C65" s="7"/>
      <c r="D65" s="1"/>
      <c r="E65" s="17">
        <f t="shared" ref="E65:K65" si="122">E$25*1000/(9.81/E$63*E$51)</f>
        <v>48.879090569955729</v>
      </c>
      <c r="F65" s="17">
        <f t="shared" si="122"/>
        <v>48.383813320988352</v>
      </c>
      <c r="G65" s="17">
        <f t="shared" si="122"/>
        <v>49.004787103945446</v>
      </c>
      <c r="H65" s="17">
        <f t="shared" si="122"/>
        <v>48.418488192299819</v>
      </c>
      <c r="I65" s="17" t="e">
        <f t="shared" si="122"/>
        <v>#REF!</v>
      </c>
      <c r="J65" s="17">
        <f t="shared" si="122"/>
        <v>51.2259817415963</v>
      </c>
      <c r="K65" s="17">
        <f t="shared" si="122"/>
        <v>51.225981734191123</v>
      </c>
      <c r="L65" s="17">
        <f t="shared" ref="L65" si="123">L$25*1000/(9.81/L$63*L$51)</f>
        <v>50.615089700520578</v>
      </c>
      <c r="M65" s="17">
        <f t="shared" ref="M65:R65" si="124">M$25*1000/(9.81/M$63*M$51)</f>
        <v>47.793458821969878</v>
      </c>
      <c r="N65" s="17">
        <f t="shared" si="124"/>
        <v>48.30461461949993</v>
      </c>
      <c r="O65" s="17">
        <f t="shared" si="124"/>
        <v>49.835654763607067</v>
      </c>
      <c r="P65" s="17">
        <f t="shared" si="124"/>
        <v>48.755382701652032</v>
      </c>
      <c r="Q65" s="17">
        <f t="shared" si="124"/>
        <v>26.135704970202326</v>
      </c>
      <c r="R65" s="17" t="e">
        <f t="shared" si="124"/>
        <v>#REF!</v>
      </c>
      <c r="S65" s="17" t="e">
        <f t="shared" ref="S65" si="125">S$25*1000/(9.81/S$63*S$51)</f>
        <v>#DIV/0!</v>
      </c>
      <c r="T65" s="17" t="e">
        <f>T$25*1000/(9.81/T$63*T$51)</f>
        <v>#DIV/0!</v>
      </c>
      <c r="V65" s="28"/>
      <c r="W65" s="22" t="s">
        <v>48</v>
      </c>
      <c r="X65" s="20">
        <f>X37-X38</f>
        <v>0.97964971633808773</v>
      </c>
      <c r="Y65" s="20">
        <f>Y37-Y38</f>
        <v>0</v>
      </c>
      <c r="Z65" s="20">
        <f>Z37-Z38</f>
        <v>0</v>
      </c>
      <c r="AA65" s="20">
        <f>AA37-AA38</f>
        <v>0</v>
      </c>
    </row>
    <row r="66" spans="1:27" collapsed="1" x14ac:dyDescent="0.35">
      <c r="A66" s="5" t="s">
        <v>56</v>
      </c>
      <c r="B66" s="7"/>
      <c r="C66" s="7"/>
      <c r="D66" s="9">
        <v>0.1</v>
      </c>
      <c r="E66" s="4">
        <f t="shared" ref="E66:K66" si="126">(E64+E26)*$D$66</f>
        <v>1.8719543246835855</v>
      </c>
      <c r="F66" s="4">
        <f t="shared" si="126"/>
        <v>1.8588839845210374</v>
      </c>
      <c r="G66" s="4">
        <f t="shared" si="126"/>
        <v>1.8719960099754929</v>
      </c>
      <c r="H66" s="4">
        <f t="shared" si="126"/>
        <v>1.8590802146785492</v>
      </c>
      <c r="I66" s="4" t="e">
        <f t="shared" si="126"/>
        <v>#DIV/0!</v>
      </c>
      <c r="J66" s="4">
        <f t="shared" si="126"/>
        <v>1.8646461415723428</v>
      </c>
      <c r="K66" s="4" t="e">
        <f t="shared" si="126"/>
        <v>#DIV/0!</v>
      </c>
      <c r="L66" s="4" t="e">
        <f t="shared" ref="L66" si="127">(L64+L26)*$D$66</f>
        <v>#DIV/0!</v>
      </c>
      <c r="M66" s="4" t="e">
        <f t="shared" ref="M66:R66" si="128">(M64+M26)*$D$66</f>
        <v>#DIV/0!</v>
      </c>
      <c r="N66" s="4" t="e">
        <f t="shared" si="128"/>
        <v>#DIV/0!</v>
      </c>
      <c r="O66" s="4" t="e">
        <f t="shared" si="128"/>
        <v>#DIV/0!</v>
      </c>
      <c r="P66" s="4" t="e">
        <f t="shared" si="128"/>
        <v>#DIV/0!</v>
      </c>
      <c r="Q66" s="4">
        <f t="shared" si="128"/>
        <v>3.6431102810124436</v>
      </c>
      <c r="R66" s="4" t="e">
        <f t="shared" si="128"/>
        <v>#DIV/0!</v>
      </c>
      <c r="S66" s="4" t="e">
        <f t="shared" ref="S66" si="129">(S64+S26)*$D$66</f>
        <v>#DIV/0!</v>
      </c>
      <c r="T66" s="4" t="e">
        <f>(T64+T26)*$D$66</f>
        <v>#DIV/0!</v>
      </c>
      <c r="V66" s="28"/>
      <c r="W66" s="8" t="s">
        <v>49</v>
      </c>
      <c r="X66" s="14"/>
      <c r="Y66" s="14"/>
      <c r="Z66" s="14"/>
      <c r="AA66" s="14"/>
    </row>
    <row r="67" spans="1:27" x14ac:dyDescent="0.35">
      <c r="A67" s="5" t="s">
        <v>57</v>
      </c>
      <c r="B67" s="7" t="s">
        <v>54</v>
      </c>
      <c r="C67" s="7"/>
      <c r="D67" s="1"/>
      <c r="E67" s="4">
        <f t="shared" ref="E67:K67" si="130">E64+E26+E66</f>
        <v>20.59149757151944</v>
      </c>
      <c r="F67" s="4">
        <f t="shared" si="130"/>
        <v>20.447723829731409</v>
      </c>
      <c r="G67" s="4">
        <f t="shared" si="130"/>
        <v>20.591956109730422</v>
      </c>
      <c r="H67" s="4">
        <f t="shared" si="130"/>
        <v>20.449882361464041</v>
      </c>
      <c r="I67" s="4" t="e">
        <f t="shared" si="130"/>
        <v>#DIV/0!</v>
      </c>
      <c r="J67" s="4">
        <f t="shared" si="130"/>
        <v>20.51110755729577</v>
      </c>
      <c r="K67" s="4" t="e">
        <f t="shared" si="130"/>
        <v>#DIV/0!</v>
      </c>
      <c r="L67" s="4" t="e">
        <f t="shared" ref="L67" si="131">L64+L26+L66</f>
        <v>#DIV/0!</v>
      </c>
      <c r="M67" s="4" t="e">
        <f>M64+M26+M66</f>
        <v>#DIV/0!</v>
      </c>
      <c r="N67" s="4" t="e">
        <f>N64+N26+N66</f>
        <v>#DIV/0!</v>
      </c>
      <c r="O67" s="4" t="e">
        <f>O64+O26+O66</f>
        <v>#DIV/0!</v>
      </c>
      <c r="P67" s="4" t="e">
        <f t="shared" ref="P67" si="132">P64+P26+P66</f>
        <v>#DIV/0!</v>
      </c>
      <c r="Q67" s="4">
        <f>Q64+Q26+Q66</f>
        <v>40.074213091136883</v>
      </c>
      <c r="R67" s="4" t="e">
        <f>R64+R26+R66</f>
        <v>#DIV/0!</v>
      </c>
      <c r="S67" s="4" t="e">
        <f t="shared" ref="S67" si="133">S64+S26+S66</f>
        <v>#DIV/0!</v>
      </c>
      <c r="T67" s="4" t="e">
        <f>T64+T26+T66</f>
        <v>#DIV/0!</v>
      </c>
      <c r="V67" s="28"/>
      <c r="W67" s="5" t="s">
        <v>52</v>
      </c>
      <c r="X67" s="16">
        <f>$D$63</f>
        <v>0.9</v>
      </c>
      <c r="Y67" s="16">
        <f>$D$63</f>
        <v>0.9</v>
      </c>
      <c r="Z67" s="16">
        <f>$D$63</f>
        <v>0.9</v>
      </c>
      <c r="AA67" s="16">
        <f>$D$63</f>
        <v>0.9</v>
      </c>
    </row>
    <row r="68" spans="1:27" x14ac:dyDescent="0.35">
      <c r="A68" s="8" t="s">
        <v>58</v>
      </c>
      <c r="B68" s="11"/>
      <c r="C68" s="11"/>
      <c r="D68" s="10"/>
      <c r="E68" s="14"/>
      <c r="F68" s="14"/>
      <c r="G68" s="14"/>
      <c r="H68" s="14"/>
      <c r="I68" s="14"/>
      <c r="J68" s="14"/>
      <c r="K68" s="14"/>
      <c r="L68" s="14"/>
      <c r="M68" s="14"/>
      <c r="N68" s="14"/>
      <c r="O68" s="14"/>
      <c r="P68" s="14"/>
      <c r="Q68" s="14"/>
      <c r="R68" s="14"/>
      <c r="S68" s="14"/>
      <c r="T68" s="14"/>
      <c r="V68" s="28"/>
      <c r="W68" s="5" t="s">
        <v>53</v>
      </c>
      <c r="X68" s="4" t="e">
        <f>X31/X41/3600</f>
        <v>#DIV/0!</v>
      </c>
      <c r="Y68" s="4" t="e">
        <f>Y31/Y41/3600</f>
        <v>#DIV/0!</v>
      </c>
      <c r="Z68" s="4" t="e">
        <f>Z31/Z41/3600</f>
        <v>#DIV/0!</v>
      </c>
      <c r="AA68" s="4" t="e">
        <f>AA31/AA41/3600</f>
        <v>#DIV/0!</v>
      </c>
    </row>
    <row r="69" spans="1:27" x14ac:dyDescent="0.35">
      <c r="A69" s="5" t="s">
        <v>59</v>
      </c>
      <c r="B69" s="7"/>
      <c r="C69" s="7"/>
      <c r="D69" s="1"/>
      <c r="E69" s="4">
        <f>MAX(E67/24,1)</f>
        <v>1</v>
      </c>
      <c r="F69" s="4">
        <f>MAX(F67/24,1)</f>
        <v>1</v>
      </c>
      <c r="G69" s="4">
        <f>MAX(G67/24,1)</f>
        <v>1</v>
      </c>
      <c r="H69" s="4">
        <f>MAX(H67/24,1)</f>
        <v>1</v>
      </c>
      <c r="I69" s="4" t="e">
        <f t="shared" ref="I69" si="134">MAX(I67/24,1)</f>
        <v>#DIV/0!</v>
      </c>
      <c r="J69" s="4">
        <f>MAX(J67/24,1)</f>
        <v>1</v>
      </c>
      <c r="K69" s="4" t="e">
        <f>MAX(K67/24,1)</f>
        <v>#DIV/0!</v>
      </c>
      <c r="L69" s="4" t="e">
        <f t="shared" ref="L69" si="135">MAX(L67/24,1)</f>
        <v>#DIV/0!</v>
      </c>
      <c r="M69" s="4" t="e">
        <f>MAX(M67/24,1)</f>
        <v>#DIV/0!</v>
      </c>
      <c r="N69" s="4" t="e">
        <f>MAX(N67/24,1)</f>
        <v>#DIV/0!</v>
      </c>
      <c r="O69" s="4" t="e">
        <f>MAX(O67/24,1)</f>
        <v>#DIV/0!</v>
      </c>
      <c r="P69" s="4" t="e">
        <f>MAX(P67/24,1)</f>
        <v>#DIV/0!</v>
      </c>
      <c r="Q69" s="4">
        <f t="shared" ref="Q69:S69" si="136">MAX(Q67/24,1)</f>
        <v>1.6697588787973701</v>
      </c>
      <c r="R69" s="4" t="e">
        <f t="shared" si="136"/>
        <v>#DIV/0!</v>
      </c>
      <c r="S69" s="4" t="e">
        <f t="shared" si="136"/>
        <v>#DIV/0!</v>
      </c>
      <c r="T69" s="4" t="e">
        <f>MAX(T67/24,1)</f>
        <v>#DIV/0!</v>
      </c>
      <c r="V69" s="28"/>
      <c r="W69" s="5" t="s">
        <v>55</v>
      </c>
      <c r="X69" s="17" t="e">
        <f>X$29*1000/(9.81/X$67*X$55)</f>
        <v>#DIV/0!</v>
      </c>
      <c r="Y69" s="17" t="e">
        <f>Y$29*1000/(9.81/Y$67*Y$55)</f>
        <v>#DIV/0!</v>
      </c>
      <c r="Z69" s="17" t="e">
        <f>Z$29*1000/(9.81/Z$67*Z$55)</f>
        <v>#DIV/0!</v>
      </c>
      <c r="AA69" s="17" t="e">
        <f>AA$29*1000/(9.81/AA$67*AA$55)</f>
        <v>#DIV/0!</v>
      </c>
    </row>
    <row r="70" spans="1:27" x14ac:dyDescent="0.35">
      <c r="A70" s="5" t="s">
        <v>129</v>
      </c>
      <c r="B70" s="7" t="s">
        <v>42</v>
      </c>
      <c r="C70" s="15">
        <v>0</v>
      </c>
      <c r="D70" s="1"/>
      <c r="E70" s="13">
        <f>E72/E71</f>
        <v>1.3399429058544821</v>
      </c>
      <c r="F70" s="13">
        <f>F72/F71</f>
        <v>1.3236049806512968</v>
      </c>
      <c r="G70" s="13">
        <f>G72/G71</f>
        <v>1.339995012469366</v>
      </c>
      <c r="H70" s="13">
        <f>H72/H71</f>
        <v>1.3238502683481868</v>
      </c>
      <c r="I70" s="13" t="e">
        <f t="shared" ref="I70" si="137">I72/I71</f>
        <v>#DIV/0!</v>
      </c>
      <c r="J70" s="13">
        <f>J72/J71</f>
        <v>1.3308076769654282</v>
      </c>
      <c r="K70" s="13" t="e">
        <f>K72/K71</f>
        <v>#DIV/0!</v>
      </c>
      <c r="L70" s="13" t="e">
        <f t="shared" ref="L70" si="138">L72/L71</f>
        <v>#DIV/0!</v>
      </c>
      <c r="M70" s="13" t="e">
        <f t="shared" ref="M70" si="139">M72/M71</f>
        <v>#DIV/0!</v>
      </c>
      <c r="N70" s="13" t="e">
        <f t="shared" ref="N70" si="140">N72/N71</f>
        <v>#DIV/0!</v>
      </c>
      <c r="O70" s="13" t="e">
        <f>O72/O71</f>
        <v>#DIV/0!</v>
      </c>
      <c r="P70" s="13" t="e">
        <f t="shared" ref="P70" si="141">P72/P71</f>
        <v>#DIV/0!</v>
      </c>
      <c r="Q70" s="13">
        <f t="shared" ref="Q70" si="142">Q72/Q71</f>
        <v>1.3309676485664657</v>
      </c>
      <c r="R70" s="13" t="e">
        <f t="shared" ref="R70" si="143">R72/R71</f>
        <v>#DIV/0!</v>
      </c>
      <c r="S70" s="13" t="e">
        <f t="shared" ref="S70" si="144">S72/S71</f>
        <v>#DIV/0!</v>
      </c>
      <c r="T70" s="13" t="e">
        <f>T72/T71</f>
        <v>#DIV/0!</v>
      </c>
      <c r="V70" s="28"/>
      <c r="W70" s="5" t="s">
        <v>56</v>
      </c>
      <c r="X70" s="4" t="e">
        <f>(X68+X30)*$D$66</f>
        <v>#DIV/0!</v>
      </c>
      <c r="Y70" s="4" t="e">
        <f>(Y68+Y30)*$D$66</f>
        <v>#DIV/0!</v>
      </c>
      <c r="Z70" s="4" t="e">
        <f>(Z68+Z30)*$D$66</f>
        <v>#DIV/0!</v>
      </c>
      <c r="AA70" s="4" t="e">
        <f>(AA68+AA30)*$D$66</f>
        <v>#DIV/0!</v>
      </c>
    </row>
    <row r="71" spans="1:27" x14ac:dyDescent="0.35">
      <c r="A71" s="5" t="s">
        <v>60</v>
      </c>
      <c r="B71" s="7" t="s">
        <v>61</v>
      </c>
      <c r="C71" s="2"/>
      <c r="D71" s="1"/>
      <c r="E71" s="3">
        <f t="shared" ref="E71:K71" si="145">E25*E26*(1-$C$70)</f>
        <v>767.18432325725917</v>
      </c>
      <c r="F71" s="3">
        <f t="shared" si="145"/>
        <v>717.77013732949922</v>
      </c>
      <c r="G71" s="3">
        <f t="shared" si="145"/>
        <v>765.96576494687542</v>
      </c>
      <c r="H71" s="3">
        <f t="shared" si="145"/>
        <v>707.20275957457136</v>
      </c>
      <c r="I71" s="3">
        <f t="shared" si="145"/>
        <v>784</v>
      </c>
      <c r="J71" s="3">
        <f t="shared" si="145"/>
        <v>784</v>
      </c>
      <c r="K71" s="3">
        <f t="shared" si="145"/>
        <v>784</v>
      </c>
      <c r="L71" s="3">
        <f t="shared" ref="L71" si="146">L25*L26*(1-$C$70)</f>
        <v>784</v>
      </c>
      <c r="M71" s="3">
        <f t="shared" ref="M71:R71" si="147">M25*M26*(1-$C$70)</f>
        <v>784</v>
      </c>
      <c r="N71" s="3">
        <f t="shared" si="147"/>
        <v>784</v>
      </c>
      <c r="O71" s="3">
        <f t="shared" si="147"/>
        <v>784</v>
      </c>
      <c r="P71" s="3">
        <f t="shared" si="147"/>
        <v>784</v>
      </c>
      <c r="Q71" s="3">
        <f t="shared" si="147"/>
        <v>781.45878241873925</v>
      </c>
      <c r="R71" s="3">
        <f t="shared" si="147"/>
        <v>781.45878241243577</v>
      </c>
      <c r="S71" s="3">
        <f t="shared" ref="S71" si="148">S25*S26*(1-$C$70)</f>
        <v>0</v>
      </c>
      <c r="T71" s="3">
        <f>T25*T26*(1-$C$70)</f>
        <v>0</v>
      </c>
      <c r="V71" s="28"/>
      <c r="W71" s="5" t="s">
        <v>57</v>
      </c>
      <c r="X71" s="4" t="e">
        <f>X68+X30+X70</f>
        <v>#DIV/0!</v>
      </c>
      <c r="Y71" s="4" t="e">
        <f>Y68+Y30+Y70</f>
        <v>#DIV/0!</v>
      </c>
      <c r="Z71" s="4" t="e">
        <f>Z68+Z30+Z70</f>
        <v>#DIV/0!</v>
      </c>
      <c r="AA71" s="4" t="e">
        <f>AA68+AA30+AA70</f>
        <v>#DIV/0!</v>
      </c>
    </row>
    <row r="72" spans="1:27" collapsed="1" x14ac:dyDescent="0.35">
      <c r="A72" s="5" t="s">
        <v>62</v>
      </c>
      <c r="B72" s="7" t="s">
        <v>61</v>
      </c>
      <c r="C72" s="7"/>
      <c r="D72" s="1" t="s">
        <v>63</v>
      </c>
      <c r="E72" s="3">
        <f t="shared" ref="E72:K72" si="149">E25*E64*(1+$C$70)</f>
        <v>1027.9831914313361</v>
      </c>
      <c r="F72" s="3">
        <f t="shared" si="149"/>
        <v>950.04412873209048</v>
      </c>
      <c r="G72" s="3">
        <f t="shared" si="149"/>
        <v>1026.3903047510958</v>
      </c>
      <c r="H72" s="3">
        <f t="shared" si="149"/>
        <v>936.23056303937449</v>
      </c>
      <c r="I72" s="3" t="e">
        <f t="shared" si="149"/>
        <v>#DIV/0!</v>
      </c>
      <c r="J72" s="3">
        <f t="shared" si="149"/>
        <v>1043.3532187408957</v>
      </c>
      <c r="K72" s="3" t="e">
        <f t="shared" si="149"/>
        <v>#DIV/0!</v>
      </c>
      <c r="L72" s="3" t="e">
        <f t="shared" ref="L72" si="150">L25*L64*(1+$C$70)</f>
        <v>#DIV/0!</v>
      </c>
      <c r="M72" s="3" t="e">
        <f t="shared" ref="M72:R72" si="151">M25*M64*(1+$C$70)</f>
        <v>#DIV/0!</v>
      </c>
      <c r="N72" s="3" t="e">
        <f t="shared" si="151"/>
        <v>#DIV/0!</v>
      </c>
      <c r="O72" s="3" t="e">
        <f t="shared" si="151"/>
        <v>#DIV/0!</v>
      </c>
      <c r="P72" s="3" t="e">
        <f t="shared" si="151"/>
        <v>#DIV/0!</v>
      </c>
      <c r="Q72" s="3">
        <f t="shared" si="151"/>
        <v>1040.0963580874827</v>
      </c>
      <c r="R72" s="3" t="e">
        <f t="shared" si="151"/>
        <v>#DIV/0!</v>
      </c>
      <c r="S72" s="3" t="e">
        <f t="shared" ref="S72" si="152">S25*S64*(1+$C$70)</f>
        <v>#DIV/0!</v>
      </c>
      <c r="T72" s="3" t="e">
        <f>T25*T64*(1+$C$70)</f>
        <v>#DIV/0!</v>
      </c>
      <c r="V72" s="28"/>
      <c r="W72" s="8" t="s">
        <v>58</v>
      </c>
      <c r="X72" s="14"/>
      <c r="Y72" s="14"/>
      <c r="Z72" s="14"/>
      <c r="AA72" s="14"/>
    </row>
    <row r="73" spans="1:27" x14ac:dyDescent="0.35">
      <c r="A73" s="5" t="s">
        <v>64</v>
      </c>
      <c r="B73" s="7" t="s">
        <v>61</v>
      </c>
      <c r="C73" s="7">
        <v>300</v>
      </c>
      <c r="D73" s="44">
        <v>7.4999999999999997E-2</v>
      </c>
      <c r="E73" s="3">
        <f t="shared" ref="E73:H74" si="153">E71*$C$73*(1-$D$73)</f>
        <v>212893.64970388944</v>
      </c>
      <c r="F73" s="3">
        <f t="shared" si="153"/>
        <v>199181.21310893603</v>
      </c>
      <c r="G73" s="3">
        <f t="shared" si="153"/>
        <v>212555.49977275796</v>
      </c>
      <c r="H73" s="3">
        <f t="shared" si="153"/>
        <v>196248.76578194357</v>
      </c>
      <c r="I73" s="3">
        <f t="shared" ref="I73" si="154">I71*$C$73*(1-$D$73)</f>
        <v>217560</v>
      </c>
      <c r="J73" s="3">
        <f>J71*$C$73*(1-$D$73)</f>
        <v>217560</v>
      </c>
      <c r="K73" s="3">
        <f>K71*$C$73*(1-$D$73)</f>
        <v>217560</v>
      </c>
      <c r="L73" s="3">
        <f t="shared" ref="L73" si="155">L71*$C$73*(1-$D$73)</f>
        <v>217560</v>
      </c>
      <c r="M73" s="3">
        <f t="shared" ref="M73:P74" si="156">M71*$C$73*(1-$D$73)</f>
        <v>217560</v>
      </c>
      <c r="N73" s="3">
        <f t="shared" si="156"/>
        <v>217560</v>
      </c>
      <c r="O73" s="3">
        <f t="shared" si="156"/>
        <v>217560</v>
      </c>
      <c r="P73" s="3">
        <f t="shared" si="156"/>
        <v>217560</v>
      </c>
      <c r="Q73" s="3">
        <f t="shared" ref="Q73:S73" si="157">Q71*$C$73*(1-$D$73)</f>
        <v>216854.81212120017</v>
      </c>
      <c r="R73" s="3">
        <f t="shared" si="157"/>
        <v>216854.81211945094</v>
      </c>
      <c r="S73" s="3">
        <f t="shared" si="157"/>
        <v>0</v>
      </c>
      <c r="T73" s="3">
        <f>T71*$C$73*(1-$D$73)</f>
        <v>0</v>
      </c>
      <c r="V73" s="28"/>
      <c r="W73" s="5" t="s">
        <v>59</v>
      </c>
      <c r="X73" s="4" t="e">
        <f>MAX(X71/24,1)</f>
        <v>#DIV/0!</v>
      </c>
      <c r="Y73" s="4" t="e">
        <f>MAX(Y71/24,1)</f>
        <v>#DIV/0!</v>
      </c>
      <c r="Z73" s="4" t="e">
        <f>MAX(Z71/24,1)</f>
        <v>#DIV/0!</v>
      </c>
      <c r="AA73" s="4" t="e">
        <f>MAX(AA71/24,1)</f>
        <v>#DIV/0!</v>
      </c>
    </row>
    <row r="74" spans="1:27" x14ac:dyDescent="0.35">
      <c r="A74" s="5" t="s">
        <v>65</v>
      </c>
      <c r="B74" s="7" t="s">
        <v>61</v>
      </c>
      <c r="C74" s="7"/>
      <c r="D74" s="1"/>
      <c r="E74" s="3">
        <f t="shared" si="153"/>
        <v>285265.33562219579</v>
      </c>
      <c r="F74" s="3">
        <f t="shared" si="153"/>
        <v>263637.24572315509</v>
      </c>
      <c r="G74" s="3">
        <f t="shared" si="153"/>
        <v>284823.30956842913</v>
      </c>
      <c r="H74" s="3">
        <f t="shared" si="153"/>
        <v>259803.98124342645</v>
      </c>
      <c r="I74" s="3" t="e">
        <f t="shared" ref="I74" si="158">I72*$C$73*(1-$D$73)</f>
        <v>#DIV/0!</v>
      </c>
      <c r="J74" s="3">
        <f>J72*$C$73*(1-$D$73)</f>
        <v>289530.5182005986</v>
      </c>
      <c r="K74" s="3" t="e">
        <f>K72*$C$73*(1-$D$73)</f>
        <v>#DIV/0!</v>
      </c>
      <c r="L74" s="3" t="e">
        <f t="shared" ref="L74" si="159">L72*$C$73*(1-$D$73)</f>
        <v>#DIV/0!</v>
      </c>
      <c r="M74" s="3" t="e">
        <f t="shared" si="156"/>
        <v>#DIV/0!</v>
      </c>
      <c r="N74" s="3" t="e">
        <f t="shared" si="156"/>
        <v>#DIV/0!</v>
      </c>
      <c r="O74" s="3" t="e">
        <f t="shared" si="156"/>
        <v>#DIV/0!</v>
      </c>
      <c r="P74" s="3" t="e">
        <f t="shared" si="156"/>
        <v>#DIV/0!</v>
      </c>
      <c r="Q74" s="3">
        <f t="shared" ref="Q74:S74" si="160">Q72*$C$73*(1-$D$73)</f>
        <v>288626.73936927645</v>
      </c>
      <c r="R74" s="3" t="e">
        <f t="shared" si="160"/>
        <v>#DIV/0!</v>
      </c>
      <c r="S74" s="3" t="e">
        <f t="shared" si="160"/>
        <v>#DIV/0!</v>
      </c>
      <c r="T74" s="3" t="e">
        <f>T72*$C$73*(1-$D$73)</f>
        <v>#DIV/0!</v>
      </c>
      <c r="V74" s="28"/>
      <c r="W74" s="5" t="s">
        <v>129</v>
      </c>
      <c r="X74" s="13" t="e">
        <f>X76/X75</f>
        <v>#DIV/0!</v>
      </c>
      <c r="Y74" s="13" t="e">
        <f>Y76/Y75</f>
        <v>#DIV/0!</v>
      </c>
      <c r="Z74" s="13" t="e">
        <f>Z76/Z75</f>
        <v>#DIV/0!</v>
      </c>
      <c r="AA74" s="13" t="e">
        <f>AA76/AA75</f>
        <v>#DIV/0!</v>
      </c>
    </row>
    <row r="75" spans="1:27" x14ac:dyDescent="0.35">
      <c r="V75" s="28"/>
      <c r="W75" s="5" t="s">
        <v>60</v>
      </c>
      <c r="X75" s="3">
        <f>X29*X30*(1-$C$70)</f>
        <v>0</v>
      </c>
      <c r="Y75" s="3">
        <f>Y29*Y30*(1-$C$70)</f>
        <v>0</v>
      </c>
      <c r="Z75" s="3">
        <f>Z29*Z30*(1-$C$70)</f>
        <v>0</v>
      </c>
      <c r="AA75" s="3">
        <f>AA29*AA30*(1-$C$70)</f>
        <v>0</v>
      </c>
    </row>
    <row r="76" spans="1:27" x14ac:dyDescent="0.35">
      <c r="V76" s="28"/>
      <c r="W76" s="5" t="s">
        <v>62</v>
      </c>
      <c r="X76" s="3" t="e">
        <f>X29*X68*(1+$C$70)</f>
        <v>#DIV/0!</v>
      </c>
      <c r="Y76" s="3" t="e">
        <f>Y29*Y68*(1+$C$70)</f>
        <v>#DIV/0!</v>
      </c>
      <c r="Z76" s="3" t="e">
        <f>Z29*Z68*(1+$C$70)</f>
        <v>#DIV/0!</v>
      </c>
      <c r="AA76" s="3" t="e">
        <f>AA29*AA68*(1+$C$70)</f>
        <v>#DIV/0!</v>
      </c>
    </row>
    <row r="77" spans="1:27" x14ac:dyDescent="0.35">
      <c r="V77" s="28"/>
      <c r="W77" s="5" t="s">
        <v>64</v>
      </c>
      <c r="X77" s="3">
        <f t="shared" ref="X77:AA78" si="161">X75*$C$73*(1-$D$73)</f>
        <v>0</v>
      </c>
      <c r="Y77" s="3">
        <f t="shared" si="161"/>
        <v>0</v>
      </c>
      <c r="Z77" s="3">
        <f t="shared" si="161"/>
        <v>0</v>
      </c>
      <c r="AA77" s="3">
        <f t="shared" si="161"/>
        <v>0</v>
      </c>
    </row>
    <row r="78" spans="1:27" x14ac:dyDescent="0.35">
      <c r="V78" s="28"/>
      <c r="W78" s="5" t="s">
        <v>65</v>
      </c>
      <c r="X78" s="3" t="e">
        <f t="shared" si="161"/>
        <v>#DIV/0!</v>
      </c>
      <c r="Y78" s="3" t="e">
        <f t="shared" si="161"/>
        <v>#DIV/0!</v>
      </c>
      <c r="Z78" s="3" t="e">
        <f t="shared" si="161"/>
        <v>#DIV/0!</v>
      </c>
      <c r="AA78" s="3" t="e">
        <f t="shared" si="161"/>
        <v>#DIV/0!</v>
      </c>
    </row>
  </sheetData>
  <mergeCells count="8">
    <mergeCell ref="X1:AA1"/>
    <mergeCell ref="X9:AA13"/>
    <mergeCell ref="I1:P1"/>
    <mergeCell ref="E1:H1"/>
    <mergeCell ref="Q1:T1"/>
    <mergeCell ref="I9:P13"/>
    <mergeCell ref="Q9:T13"/>
    <mergeCell ref="E9:H13"/>
  </mergeCells>
  <phoneticPr fontId="20" type="noConversion"/>
  <dataValidations disablePrompts="1" count="1">
    <dataValidation type="list" allowBlank="1" showInputMessage="1" showErrorMessage="1" sqref="C32" xr:uid="{11509EB2-779B-456A-A83D-5A030FD92408}">
      <formula1>#REF!</formula1>
    </dataValidation>
  </dataValidation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90CA5-FB85-4623-84EB-59D23BD36675}">
  <sheetPr codeName="Sheet26"/>
  <dimension ref="C1:Z43"/>
  <sheetViews>
    <sheetView zoomScaleNormal="100" workbookViewId="0">
      <selection activeCell="E56" sqref="E56"/>
    </sheetView>
  </sheetViews>
  <sheetFormatPr defaultRowHeight="13" x14ac:dyDescent="0.3"/>
  <cols>
    <col min="1" max="3" width="8.7265625" style="45"/>
    <col min="4" max="5" width="8.81640625" style="45" bestFit="1" customWidth="1"/>
    <col min="6" max="6" width="9.90625" style="45" bestFit="1" customWidth="1"/>
    <col min="7" max="7" width="12.6328125" style="45" bestFit="1" customWidth="1"/>
    <col min="8" max="8" width="8.7265625" style="45"/>
    <col min="9" max="9" width="10.08984375" style="45" bestFit="1" customWidth="1"/>
    <col min="10" max="10" width="10.36328125" style="45" bestFit="1" customWidth="1"/>
    <col min="11" max="12" width="8.7265625" style="45"/>
    <col min="13" max="13" width="26.36328125" style="45" bestFit="1" customWidth="1"/>
    <col min="14" max="14" width="9.453125" style="45" bestFit="1" customWidth="1"/>
    <col min="15" max="15" width="8.7265625" style="45"/>
    <col min="16" max="18" width="8.81640625" style="45" bestFit="1" customWidth="1"/>
    <col min="19" max="19" width="11.7265625" style="45" customWidth="1"/>
    <col min="20" max="20" width="8.81640625" style="45" bestFit="1" customWidth="1"/>
    <col min="21" max="24" width="8.7265625" style="45"/>
    <col min="25" max="25" width="17.6328125" style="45" bestFit="1" customWidth="1"/>
    <col min="26" max="28" width="8.81640625" style="45" bestFit="1" customWidth="1"/>
    <col min="29" max="29" width="9.453125" style="45" bestFit="1" customWidth="1"/>
    <col min="30" max="16384" width="8.7265625" style="45"/>
  </cols>
  <sheetData>
    <row r="1" spans="4:26" x14ac:dyDescent="0.3">
      <c r="Q1" s="45" t="s">
        <v>130</v>
      </c>
      <c r="R1" s="45" t="s">
        <v>69</v>
      </c>
      <c r="S1" s="45">
        <v>4881049.3196069999</v>
      </c>
    </row>
    <row r="2" spans="4:26" x14ac:dyDescent="0.3">
      <c r="D2" s="45" t="s">
        <v>125</v>
      </c>
    </row>
    <row r="4" spans="4:26" x14ac:dyDescent="0.3">
      <c r="D4" s="45" t="s">
        <v>78</v>
      </c>
      <c r="E4" s="45" t="s">
        <v>99</v>
      </c>
      <c r="F4" s="45" t="s">
        <v>70</v>
      </c>
      <c r="G4" s="45" t="s">
        <v>69</v>
      </c>
      <c r="H4" s="45" t="s">
        <v>93</v>
      </c>
      <c r="I4" s="45" t="s">
        <v>119</v>
      </c>
      <c r="J4" s="45" t="s">
        <v>131</v>
      </c>
      <c r="M4" s="45" t="s">
        <v>80</v>
      </c>
      <c r="N4" s="45" t="s">
        <v>99</v>
      </c>
      <c r="O4" s="45" t="s">
        <v>81</v>
      </c>
      <c r="P4" s="45" t="s">
        <v>82</v>
      </c>
      <c r="Q4" s="45" t="s">
        <v>83</v>
      </c>
      <c r="R4" s="45" t="s">
        <v>84</v>
      </c>
      <c r="S4" s="45" t="s">
        <v>131</v>
      </c>
      <c r="T4" s="45" t="s">
        <v>78</v>
      </c>
      <c r="X4" s="45" t="s">
        <v>124</v>
      </c>
      <c r="Y4" s="45" t="s">
        <v>123</v>
      </c>
    </row>
    <row r="5" spans="4:26" x14ac:dyDescent="0.3">
      <c r="E5" s="45">
        <v>360</v>
      </c>
      <c r="F5" s="45">
        <v>518606</v>
      </c>
      <c r="G5" s="45">
        <v>28601016.121667001</v>
      </c>
      <c r="H5" s="45">
        <f t="shared" ref="H5:H32" si="0">SUMIFS($Y$11:$Y$31,$X$11:$X$31,"&lt;="&amp;E5,$X$11:$X$31,"&gt;"&amp;E6)</f>
        <v>0</v>
      </c>
      <c r="I5" s="45">
        <f t="shared" ref="I5:I32" si="1">H5+I6</f>
        <v>514019.77745599998</v>
      </c>
      <c r="J5" s="45">
        <v>28601016.121667001</v>
      </c>
      <c r="M5" s="45" t="s">
        <v>118</v>
      </c>
      <c r="N5" s="45">
        <v>155</v>
      </c>
      <c r="O5" s="45" t="s">
        <v>90</v>
      </c>
      <c r="P5" s="45">
        <v>1</v>
      </c>
      <c r="Q5" s="45">
        <v>193118.90658499999</v>
      </c>
      <c r="R5" s="45">
        <v>218295.276044</v>
      </c>
      <c r="S5" s="45">
        <v>10000000</v>
      </c>
      <c r="T5" s="45">
        <v>1</v>
      </c>
      <c r="X5" s="45" t="s">
        <v>122</v>
      </c>
      <c r="Y5" s="45">
        <f>INDEX('ss MAIN'!$L$26:$R$26,MATCH($Y$4,'ss MAIN'!$L$6:$R$6,0))</f>
        <v>514019.77745599998</v>
      </c>
    </row>
    <row r="6" spans="4:26" x14ac:dyDescent="0.3">
      <c r="E6" s="45">
        <v>355</v>
      </c>
      <c r="F6" s="45">
        <v>489933</v>
      </c>
      <c r="G6" s="45">
        <v>26074652.870469999</v>
      </c>
      <c r="H6" s="45">
        <f t="shared" si="0"/>
        <v>0</v>
      </c>
      <c r="I6" s="45">
        <f t="shared" si="1"/>
        <v>514019.77745599998</v>
      </c>
      <c r="J6" s="45">
        <v>26074652.870469999</v>
      </c>
      <c r="N6" s="45">
        <v>150</v>
      </c>
      <c r="S6" s="45">
        <v>7000000</v>
      </c>
      <c r="X6" s="45" t="s">
        <v>72</v>
      </c>
      <c r="Y6" s="45">
        <f>INDEX('ss MAIN'!$L8:$R8,MATCH($Y$4,'ss MAIN'!$L$6:$R$6,0))</f>
        <v>303</v>
      </c>
    </row>
    <row r="7" spans="4:26" x14ac:dyDescent="0.3">
      <c r="E7" s="45">
        <v>350</v>
      </c>
      <c r="F7" s="45">
        <v>465036</v>
      </c>
      <c r="G7" s="45">
        <v>23688301.067607</v>
      </c>
      <c r="H7" s="45">
        <f t="shared" si="0"/>
        <v>0</v>
      </c>
      <c r="I7" s="45">
        <f t="shared" si="1"/>
        <v>514019.77745599998</v>
      </c>
      <c r="J7" s="45">
        <v>23688301.067607</v>
      </c>
      <c r="M7" s="45" t="s">
        <v>118</v>
      </c>
      <c r="N7" s="45">
        <v>145</v>
      </c>
      <c r="O7" s="45" t="s">
        <v>90</v>
      </c>
      <c r="P7" s="45">
        <v>1</v>
      </c>
      <c r="Q7" s="45">
        <v>193118.90658499999</v>
      </c>
      <c r="R7" s="45">
        <v>218295.276044</v>
      </c>
      <c r="S7" s="45">
        <v>4977061.9087239997</v>
      </c>
      <c r="T7" s="45">
        <v>1</v>
      </c>
      <c r="X7" s="45" t="s">
        <v>76</v>
      </c>
      <c r="Y7" s="45">
        <f>INDEX('ss MAIN'!$L9:$R9,MATCH($Y$4,'ss MAIN'!$L$6:$R$6,0))</f>
        <v>283</v>
      </c>
    </row>
    <row r="8" spans="4:26" x14ac:dyDescent="0.3">
      <c r="E8" s="45">
        <v>345</v>
      </c>
      <c r="F8" s="45">
        <v>433236</v>
      </c>
      <c r="G8" s="45">
        <v>21440442.046898</v>
      </c>
      <c r="H8" s="45">
        <f t="shared" si="0"/>
        <v>0</v>
      </c>
      <c r="I8" s="45">
        <f t="shared" si="1"/>
        <v>514019.77745599998</v>
      </c>
      <c r="J8" s="45">
        <v>21440442.046898</v>
      </c>
      <c r="M8" s="45" t="s">
        <v>118</v>
      </c>
      <c r="N8" s="45">
        <v>140</v>
      </c>
      <c r="O8" s="45" t="s">
        <v>90</v>
      </c>
      <c r="P8" s="45">
        <v>1</v>
      </c>
      <c r="Q8" s="45">
        <v>162496.15361499999</v>
      </c>
      <c r="R8" s="45">
        <v>183613.56036800001</v>
      </c>
      <c r="S8" s="45">
        <v>4039600.8550669998</v>
      </c>
      <c r="T8" s="45">
        <v>2</v>
      </c>
      <c r="X8" s="45">
        <f>COUNT($X$11:$X$36)</f>
        <v>21</v>
      </c>
    </row>
    <row r="9" spans="4:26" x14ac:dyDescent="0.3">
      <c r="E9" s="45">
        <v>340</v>
      </c>
      <c r="F9" s="45">
        <v>403360</v>
      </c>
      <c r="G9" s="45">
        <v>19348609.045933001</v>
      </c>
      <c r="H9" s="45">
        <f t="shared" si="0"/>
        <v>0</v>
      </c>
      <c r="I9" s="45">
        <f t="shared" si="1"/>
        <v>514019.77745599998</v>
      </c>
      <c r="J9" s="45">
        <v>19348609.045933001</v>
      </c>
      <c r="M9" s="45" t="s">
        <v>118</v>
      </c>
      <c r="N9" s="45">
        <v>135</v>
      </c>
      <c r="O9" s="45" t="s">
        <v>90</v>
      </c>
      <c r="P9" s="45">
        <v>1</v>
      </c>
      <c r="Q9" s="45">
        <v>151133.871675</v>
      </c>
      <c r="R9" s="45">
        <v>168843.102327</v>
      </c>
      <c r="S9" s="45">
        <v>3255642.2479810002</v>
      </c>
      <c r="T9" s="45">
        <v>3</v>
      </c>
    </row>
    <row r="10" spans="4:26" x14ac:dyDescent="0.3">
      <c r="E10" s="45">
        <v>335</v>
      </c>
      <c r="F10" s="45">
        <v>383212</v>
      </c>
      <c r="G10" s="45">
        <v>17386185.260857001</v>
      </c>
      <c r="H10" s="45">
        <f t="shared" si="0"/>
        <v>0</v>
      </c>
      <c r="I10" s="45">
        <f t="shared" si="1"/>
        <v>514019.77745599998</v>
      </c>
      <c r="J10" s="45">
        <v>17386185.260857001</v>
      </c>
      <c r="M10" s="45" t="s">
        <v>118</v>
      </c>
      <c r="N10" s="45">
        <v>130</v>
      </c>
      <c r="O10" s="45" t="s">
        <v>90</v>
      </c>
      <c r="P10" s="45">
        <v>1</v>
      </c>
      <c r="Q10" s="45">
        <v>134872.96651200001</v>
      </c>
      <c r="R10" s="45">
        <v>149399.06568900001</v>
      </c>
      <c r="S10" s="45">
        <v>2527796.3137449999</v>
      </c>
      <c r="T10" s="45">
        <v>4</v>
      </c>
      <c r="X10" s="45" t="s">
        <v>121</v>
      </c>
      <c r="Y10" s="45" t="s">
        <v>120</v>
      </c>
      <c r="Z10" s="45" t="s">
        <v>119</v>
      </c>
    </row>
    <row r="11" spans="4:26" x14ac:dyDescent="0.3">
      <c r="E11" s="45">
        <v>330</v>
      </c>
      <c r="F11" s="45">
        <v>349374</v>
      </c>
      <c r="G11" s="45">
        <v>15547204.083656</v>
      </c>
      <c r="H11" s="45">
        <f t="shared" si="0"/>
        <v>0</v>
      </c>
      <c r="I11" s="45">
        <f t="shared" si="1"/>
        <v>514019.77745599998</v>
      </c>
      <c r="J11" s="45">
        <v>15547204.083656</v>
      </c>
      <c r="M11" s="45" t="s">
        <v>118</v>
      </c>
      <c r="N11" s="45">
        <v>125</v>
      </c>
      <c r="O11" s="45" t="s">
        <v>90</v>
      </c>
      <c r="P11" s="45">
        <v>1</v>
      </c>
      <c r="Q11" s="45">
        <v>124531.918307</v>
      </c>
      <c r="R11" s="45">
        <v>135993.92080600001</v>
      </c>
      <c r="S11" s="45">
        <v>1879396.1658749999</v>
      </c>
      <c r="T11" s="45">
        <v>5</v>
      </c>
      <c r="X11" s="45">
        <f>$Y$6</f>
        <v>303</v>
      </c>
      <c r="Y11" s="45">
        <f t="shared" ref="Y11:Y31" si="2">$Y$5/$X$8</f>
        <v>24477.132259809521</v>
      </c>
      <c r="Z11" s="45">
        <f t="shared" ref="Z11:Z31" si="3">Y11+Z12</f>
        <v>514019.77745600004</v>
      </c>
    </row>
    <row r="12" spans="4:26" x14ac:dyDescent="0.3">
      <c r="E12" s="45">
        <v>325</v>
      </c>
      <c r="F12" s="45">
        <v>316765</v>
      </c>
      <c r="G12" s="45">
        <v>13905178.457514999</v>
      </c>
      <c r="H12" s="45">
        <f t="shared" si="0"/>
        <v>0</v>
      </c>
      <c r="I12" s="45">
        <f t="shared" si="1"/>
        <v>514019.77745599998</v>
      </c>
      <c r="J12" s="45">
        <v>13905178.457514999</v>
      </c>
      <c r="M12" s="45" t="s">
        <v>118</v>
      </c>
      <c r="N12" s="45">
        <v>120</v>
      </c>
      <c r="O12" s="45" t="s">
        <v>90</v>
      </c>
      <c r="P12" s="45">
        <v>1</v>
      </c>
      <c r="Q12" s="45">
        <v>109643.56872900001</v>
      </c>
      <c r="R12" s="45">
        <v>118128.15515599999</v>
      </c>
      <c r="S12" s="45">
        <v>1282028.8739680001</v>
      </c>
      <c r="T12" s="45">
        <v>6</v>
      </c>
      <c r="X12" s="45">
        <f t="shared" ref="X12:X36" si="4">IF(X11="","",IF(X11-1&lt;$Y$7,"",X11-1))</f>
        <v>302</v>
      </c>
      <c r="Y12" s="45">
        <f t="shared" si="2"/>
        <v>24477.132259809521</v>
      </c>
      <c r="Z12" s="45">
        <f t="shared" si="3"/>
        <v>489542.64519619051</v>
      </c>
    </row>
    <row r="13" spans="4:26" x14ac:dyDescent="0.3">
      <c r="E13" s="45">
        <v>320</v>
      </c>
      <c r="F13" s="45">
        <v>298790</v>
      </c>
      <c r="G13" s="45">
        <v>12365875.241061</v>
      </c>
      <c r="H13" s="45">
        <f t="shared" si="0"/>
        <v>0</v>
      </c>
      <c r="I13" s="45">
        <f t="shared" si="1"/>
        <v>514019.77745599998</v>
      </c>
      <c r="J13" s="45">
        <v>12365875.241061</v>
      </c>
      <c r="M13" s="45" t="s">
        <v>118</v>
      </c>
      <c r="N13" s="45">
        <v>115</v>
      </c>
      <c r="O13" s="45" t="s">
        <v>90</v>
      </c>
      <c r="P13" s="45">
        <v>1</v>
      </c>
      <c r="Q13" s="45">
        <v>99983.818576999998</v>
      </c>
      <c r="R13" s="45">
        <v>105617.437743</v>
      </c>
      <c r="S13" s="45">
        <v>758076.63636200002</v>
      </c>
      <c r="T13" s="45">
        <v>7</v>
      </c>
      <c r="X13" s="45">
        <f t="shared" si="4"/>
        <v>301</v>
      </c>
      <c r="Y13" s="45">
        <f t="shared" si="2"/>
        <v>24477.132259809521</v>
      </c>
      <c r="Z13" s="45">
        <f t="shared" si="3"/>
        <v>465065.51293638098</v>
      </c>
    </row>
    <row r="14" spans="4:26" x14ac:dyDescent="0.3">
      <c r="E14" s="45">
        <v>315</v>
      </c>
      <c r="F14" s="45">
        <v>287858</v>
      </c>
      <c r="G14" s="45">
        <v>10899667.500097999</v>
      </c>
      <c r="H14" s="45">
        <f t="shared" si="0"/>
        <v>0</v>
      </c>
      <c r="I14" s="45">
        <f t="shared" si="1"/>
        <v>514019.77745599998</v>
      </c>
      <c r="J14" s="45">
        <v>10899667.500097999</v>
      </c>
      <c r="M14" s="45" t="s">
        <v>118</v>
      </c>
      <c r="N14" s="45">
        <v>110</v>
      </c>
      <c r="O14" s="45" t="s">
        <v>90</v>
      </c>
      <c r="P14" s="45">
        <v>1</v>
      </c>
      <c r="Q14" s="45">
        <v>32916.743240000003</v>
      </c>
      <c r="R14" s="45">
        <v>35783.415182999997</v>
      </c>
      <c r="S14" s="45">
        <v>281725.765564</v>
      </c>
      <c r="T14" s="45">
        <v>8</v>
      </c>
      <c r="X14" s="45">
        <f t="shared" si="4"/>
        <v>300</v>
      </c>
      <c r="Y14" s="45">
        <f t="shared" si="2"/>
        <v>24477.132259809521</v>
      </c>
      <c r="Z14" s="45">
        <f t="shared" si="3"/>
        <v>440588.38067657145</v>
      </c>
    </row>
    <row r="15" spans="4:26" x14ac:dyDescent="0.3">
      <c r="E15" s="45">
        <v>310</v>
      </c>
      <c r="F15" s="45">
        <v>268527</v>
      </c>
      <c r="G15" s="45">
        <v>9502636.3434720002</v>
      </c>
      <c r="H15" s="45">
        <f t="shared" si="0"/>
        <v>0</v>
      </c>
      <c r="I15" s="45">
        <f t="shared" si="1"/>
        <v>514019.77745599998</v>
      </c>
      <c r="J15" s="45">
        <v>9502636.3434720002</v>
      </c>
      <c r="M15" s="45" t="s">
        <v>118</v>
      </c>
      <c r="N15" s="45">
        <v>105</v>
      </c>
      <c r="O15" s="45" t="s">
        <v>90</v>
      </c>
      <c r="P15" s="45">
        <v>1</v>
      </c>
      <c r="Q15" s="45">
        <v>28123.865410999999</v>
      </c>
      <c r="R15" s="45">
        <v>29512.544191000001</v>
      </c>
      <c r="S15" s="45">
        <v>129246.021802</v>
      </c>
      <c r="T15" s="45">
        <v>9</v>
      </c>
      <c r="X15" s="45">
        <f t="shared" si="4"/>
        <v>299</v>
      </c>
      <c r="Y15" s="45">
        <f t="shared" si="2"/>
        <v>24477.132259809521</v>
      </c>
      <c r="Z15" s="45">
        <f t="shared" si="3"/>
        <v>416111.24841676193</v>
      </c>
    </row>
    <row r="16" spans="4:26" x14ac:dyDescent="0.3">
      <c r="E16" s="45">
        <v>305</v>
      </c>
      <c r="F16" s="45">
        <v>238784</v>
      </c>
      <c r="G16" s="45">
        <v>8259678.814708</v>
      </c>
      <c r="H16" s="45">
        <f t="shared" si="0"/>
        <v>73431.396779428556</v>
      </c>
      <c r="I16" s="45">
        <f t="shared" si="1"/>
        <v>514019.77745599998</v>
      </c>
      <c r="J16" s="45">
        <v>8259678.814708</v>
      </c>
      <c r="M16" s="45" t="s">
        <v>118</v>
      </c>
      <c r="N16" s="45">
        <v>100</v>
      </c>
      <c r="O16" s="45" t="s">
        <v>90</v>
      </c>
      <c r="P16" s="45">
        <v>1</v>
      </c>
      <c r="Q16" s="45">
        <v>0</v>
      </c>
      <c r="R16" s="45">
        <v>0</v>
      </c>
      <c r="S16" s="45">
        <v>0</v>
      </c>
      <c r="T16" s="45">
        <v>10</v>
      </c>
      <c r="X16" s="45">
        <f t="shared" si="4"/>
        <v>298</v>
      </c>
      <c r="Y16" s="45">
        <f t="shared" si="2"/>
        <v>24477.132259809521</v>
      </c>
      <c r="Z16" s="45">
        <f t="shared" si="3"/>
        <v>391634.1161569524</v>
      </c>
    </row>
    <row r="17" spans="4:26" x14ac:dyDescent="0.3">
      <c r="E17" s="45">
        <v>300</v>
      </c>
      <c r="F17" s="45">
        <v>230364</v>
      </c>
      <c r="G17" s="45">
        <v>7086569.7977259997</v>
      </c>
      <c r="H17" s="45">
        <f t="shared" si="0"/>
        <v>122385.66129904761</v>
      </c>
      <c r="I17" s="45">
        <f t="shared" si="1"/>
        <v>440588.3806765714</v>
      </c>
      <c r="J17" s="45">
        <v>7086569.7977259997</v>
      </c>
      <c r="X17" s="45">
        <f t="shared" si="4"/>
        <v>297</v>
      </c>
      <c r="Y17" s="45">
        <f t="shared" si="2"/>
        <v>24477.132259809521</v>
      </c>
      <c r="Z17" s="45">
        <f t="shared" si="3"/>
        <v>367156.98389714287</v>
      </c>
    </row>
    <row r="18" spans="4:26" x14ac:dyDescent="0.3">
      <c r="E18" s="45">
        <v>295</v>
      </c>
      <c r="F18" s="45">
        <v>219624</v>
      </c>
      <c r="G18" s="45">
        <v>5958291.3034819998</v>
      </c>
      <c r="H18" s="45">
        <f t="shared" si="0"/>
        <v>122385.66129904761</v>
      </c>
      <c r="I18" s="45">
        <f t="shared" si="1"/>
        <v>318202.71937752375</v>
      </c>
      <c r="J18" s="45">
        <v>5958291.3034819998</v>
      </c>
      <c r="X18" s="45">
        <f t="shared" si="4"/>
        <v>296</v>
      </c>
      <c r="Y18" s="45">
        <f t="shared" si="2"/>
        <v>24477.132259809521</v>
      </c>
      <c r="Z18" s="45">
        <f t="shared" si="3"/>
        <v>342679.85163733334</v>
      </c>
    </row>
    <row r="19" spans="4:26" x14ac:dyDescent="0.3">
      <c r="E19" s="45">
        <v>290</v>
      </c>
      <c r="F19" s="45">
        <v>182610</v>
      </c>
      <c r="G19" s="45">
        <v>4963086.097325</v>
      </c>
      <c r="H19" s="45">
        <f t="shared" si="0"/>
        <v>122385.66129904761</v>
      </c>
      <c r="I19" s="45">
        <f t="shared" si="1"/>
        <v>195817.05807847617</v>
      </c>
      <c r="J19" s="45">
        <v>4963086.097325</v>
      </c>
      <c r="M19" s="45">
        <v>154</v>
      </c>
      <c r="N19" s="45" cm="1">
        <f t="array" ref="N19">JKJInterpolate(M19,LRy,LRvol,-1)</f>
        <v>9400000</v>
      </c>
      <c r="X19" s="45">
        <f t="shared" si="4"/>
        <v>295</v>
      </c>
      <c r="Y19" s="45">
        <f t="shared" si="2"/>
        <v>24477.132259809521</v>
      </c>
      <c r="Z19" s="45">
        <f t="shared" si="3"/>
        <v>318202.71937752381</v>
      </c>
    </row>
    <row r="20" spans="4:26" x14ac:dyDescent="0.3">
      <c r="E20" s="45">
        <v>285</v>
      </c>
      <c r="F20" s="45">
        <v>170970</v>
      </c>
      <c r="G20" s="45">
        <v>4079506.285557</v>
      </c>
      <c r="H20" s="45">
        <f t="shared" si="0"/>
        <v>73431.396779428556</v>
      </c>
      <c r="I20" s="45">
        <f t="shared" si="1"/>
        <v>73431.396779428556</v>
      </c>
      <c r="J20" s="45">
        <v>4079506.285557</v>
      </c>
      <c r="X20" s="45">
        <f t="shared" si="4"/>
        <v>294</v>
      </c>
      <c r="Y20" s="45">
        <f t="shared" si="2"/>
        <v>24477.132259809521</v>
      </c>
      <c r="Z20" s="45">
        <f t="shared" si="3"/>
        <v>293725.58711771428</v>
      </c>
    </row>
    <row r="21" spans="4:26" x14ac:dyDescent="0.3">
      <c r="E21" s="45">
        <v>280</v>
      </c>
      <c r="F21" s="45">
        <v>141760</v>
      </c>
      <c r="G21" s="45">
        <v>3277252.9579699999</v>
      </c>
      <c r="H21" s="45">
        <f t="shared" si="0"/>
        <v>0</v>
      </c>
      <c r="I21" s="45">
        <f t="shared" si="1"/>
        <v>0</v>
      </c>
      <c r="J21" s="45">
        <v>3277252.9579699999</v>
      </c>
      <c r="X21" s="45">
        <f t="shared" si="4"/>
        <v>293</v>
      </c>
      <c r="Y21" s="45">
        <f t="shared" si="2"/>
        <v>24477.132259809521</v>
      </c>
      <c r="Z21" s="45">
        <f t="shared" si="3"/>
        <v>269248.45485790476</v>
      </c>
    </row>
    <row r="22" spans="4:26" x14ac:dyDescent="0.3">
      <c r="E22" s="45">
        <v>275</v>
      </c>
      <c r="F22" s="45">
        <v>122920</v>
      </c>
      <c r="G22" s="45">
        <v>2626475.4087899998</v>
      </c>
      <c r="H22" s="45">
        <f t="shared" si="0"/>
        <v>0</v>
      </c>
      <c r="I22" s="45">
        <f t="shared" si="1"/>
        <v>0</v>
      </c>
      <c r="J22" s="45">
        <v>2626475.4087899998</v>
      </c>
      <c r="X22" s="45">
        <f t="shared" si="4"/>
        <v>292</v>
      </c>
      <c r="Y22" s="45">
        <f t="shared" si="2"/>
        <v>24477.132259809521</v>
      </c>
      <c r="Z22" s="45">
        <f t="shared" si="3"/>
        <v>244771.32259809526</v>
      </c>
    </row>
    <row r="23" spans="4:26" x14ac:dyDescent="0.3">
      <c r="E23" s="45">
        <v>270</v>
      </c>
      <c r="F23" s="45">
        <v>106876</v>
      </c>
      <c r="G23" s="45">
        <v>2046862.370603</v>
      </c>
      <c r="H23" s="45">
        <f t="shared" si="0"/>
        <v>0</v>
      </c>
      <c r="I23" s="45">
        <f t="shared" si="1"/>
        <v>0</v>
      </c>
      <c r="J23" s="45">
        <v>2046862.370603</v>
      </c>
      <c r="X23" s="45">
        <f t="shared" si="4"/>
        <v>291</v>
      </c>
      <c r="Y23" s="45">
        <f t="shared" si="2"/>
        <v>24477.132259809521</v>
      </c>
      <c r="Z23" s="45">
        <f t="shared" si="3"/>
        <v>220294.19033828573</v>
      </c>
    </row>
    <row r="24" spans="4:26" x14ac:dyDescent="0.3">
      <c r="E24" s="45">
        <v>265</v>
      </c>
      <c r="F24" s="45">
        <v>84621</v>
      </c>
      <c r="G24" s="55">
        <v>1575161.686554</v>
      </c>
      <c r="H24" s="45">
        <f t="shared" si="0"/>
        <v>0</v>
      </c>
      <c r="I24" s="45">
        <f t="shared" si="1"/>
        <v>0</v>
      </c>
      <c r="J24" s="45">
        <v>1575161.686554</v>
      </c>
      <c r="X24" s="45">
        <f t="shared" si="4"/>
        <v>290</v>
      </c>
      <c r="Y24" s="45">
        <f t="shared" si="2"/>
        <v>24477.132259809521</v>
      </c>
      <c r="Z24" s="45">
        <f t="shared" si="3"/>
        <v>195817.0580784762</v>
      </c>
    </row>
    <row r="25" spans="4:26" x14ac:dyDescent="0.3">
      <c r="E25" s="45">
        <v>260</v>
      </c>
      <c r="F25" s="45">
        <v>76016</v>
      </c>
      <c r="G25" s="55">
        <v>1173750.9923099999</v>
      </c>
      <c r="H25" s="45">
        <f t="shared" si="0"/>
        <v>0</v>
      </c>
      <c r="I25" s="45">
        <f t="shared" si="1"/>
        <v>0</v>
      </c>
      <c r="J25" s="45">
        <v>1173750.9923099999</v>
      </c>
      <c r="X25" s="45">
        <f t="shared" si="4"/>
        <v>289</v>
      </c>
      <c r="Y25" s="45">
        <f t="shared" si="2"/>
        <v>24477.132259809521</v>
      </c>
      <c r="Z25" s="45">
        <f t="shared" si="3"/>
        <v>171339.92581866667</v>
      </c>
    </row>
    <row r="26" spans="4:26" x14ac:dyDescent="0.3">
      <c r="E26" s="45">
        <v>255</v>
      </c>
      <c r="F26" s="45">
        <v>62685</v>
      </c>
      <c r="G26" s="55">
        <v>817220.22247299994</v>
      </c>
      <c r="H26" s="45">
        <f t="shared" si="0"/>
        <v>0</v>
      </c>
      <c r="I26" s="45">
        <f t="shared" si="1"/>
        <v>0</v>
      </c>
      <c r="J26" s="45">
        <v>817220.22247299994</v>
      </c>
      <c r="X26" s="45">
        <f t="shared" si="4"/>
        <v>288</v>
      </c>
      <c r="Y26" s="45">
        <f t="shared" si="2"/>
        <v>24477.132259809521</v>
      </c>
      <c r="Z26" s="45">
        <f t="shared" si="3"/>
        <v>146862.79355885714</v>
      </c>
    </row>
    <row r="27" spans="4:26" x14ac:dyDescent="0.3">
      <c r="E27" s="45">
        <v>250</v>
      </c>
      <c r="F27" s="45">
        <v>42039</v>
      </c>
      <c r="G27" s="55">
        <v>565285.14025900001</v>
      </c>
      <c r="H27" s="45">
        <f t="shared" si="0"/>
        <v>0</v>
      </c>
      <c r="I27" s="45">
        <f t="shared" si="1"/>
        <v>0</v>
      </c>
      <c r="J27" s="45">
        <v>565285.14025900001</v>
      </c>
      <c r="X27" s="45">
        <f t="shared" si="4"/>
        <v>287</v>
      </c>
      <c r="Y27" s="45">
        <f t="shared" si="2"/>
        <v>24477.132259809521</v>
      </c>
      <c r="Z27" s="45">
        <f t="shared" si="3"/>
        <v>122385.66129904761</v>
      </c>
    </row>
    <row r="28" spans="4:26" x14ac:dyDescent="0.3">
      <c r="D28" s="57"/>
      <c r="E28" s="57">
        <v>245</v>
      </c>
      <c r="F28" s="57">
        <v>37584</v>
      </c>
      <c r="G28" s="56">
        <v>366519.23309300002</v>
      </c>
      <c r="H28" s="45">
        <f t="shared" si="0"/>
        <v>0</v>
      </c>
      <c r="I28" s="45">
        <f t="shared" si="1"/>
        <v>0</v>
      </c>
      <c r="J28" s="45">
        <v>366519.23309300002</v>
      </c>
      <c r="X28" s="45">
        <f t="shared" si="4"/>
        <v>286</v>
      </c>
      <c r="Y28" s="45">
        <f t="shared" si="2"/>
        <v>24477.132259809521</v>
      </c>
      <c r="Z28" s="45">
        <f t="shared" si="3"/>
        <v>97908.529039238085</v>
      </c>
    </row>
    <row r="29" spans="4:26" x14ac:dyDescent="0.3">
      <c r="E29" s="45">
        <v>240</v>
      </c>
      <c r="F29" s="45">
        <v>24011</v>
      </c>
      <c r="G29" s="55">
        <v>198353.53855900001</v>
      </c>
      <c r="H29" s="45">
        <f t="shared" si="0"/>
        <v>0</v>
      </c>
      <c r="I29" s="45">
        <f t="shared" si="1"/>
        <v>0</v>
      </c>
      <c r="J29" s="45">
        <v>198353.53855900001</v>
      </c>
      <c r="X29" s="45">
        <f t="shared" si="4"/>
        <v>285</v>
      </c>
      <c r="Y29" s="45">
        <f t="shared" si="2"/>
        <v>24477.132259809521</v>
      </c>
      <c r="Z29" s="45">
        <f t="shared" si="3"/>
        <v>73431.396779428556</v>
      </c>
    </row>
    <row r="30" spans="4:26" x14ac:dyDescent="0.3">
      <c r="E30" s="45">
        <v>235</v>
      </c>
      <c r="F30" s="45">
        <v>19535</v>
      </c>
      <c r="G30" s="55">
        <v>91399.976668999996</v>
      </c>
      <c r="H30" s="45">
        <f t="shared" si="0"/>
        <v>0</v>
      </c>
      <c r="I30" s="45">
        <f t="shared" si="1"/>
        <v>0</v>
      </c>
      <c r="J30" s="45">
        <v>91399.976668999996</v>
      </c>
      <c r="X30" s="45">
        <f t="shared" si="4"/>
        <v>284</v>
      </c>
      <c r="Y30" s="45">
        <f t="shared" si="2"/>
        <v>24477.132259809521</v>
      </c>
      <c r="Z30" s="45">
        <f t="shared" si="3"/>
        <v>48954.264519619042</v>
      </c>
    </row>
    <row r="31" spans="4:26" x14ac:dyDescent="0.3">
      <c r="E31" s="45">
        <v>230</v>
      </c>
      <c r="F31" s="45">
        <v>7059</v>
      </c>
      <c r="G31" s="55">
        <v>6515.6257480000004</v>
      </c>
      <c r="H31" s="45">
        <f t="shared" si="0"/>
        <v>0</v>
      </c>
      <c r="I31" s="45">
        <f t="shared" si="1"/>
        <v>0</v>
      </c>
      <c r="J31" s="45">
        <v>6515.6257480000004</v>
      </c>
      <c r="X31" s="45">
        <f t="shared" si="4"/>
        <v>283</v>
      </c>
      <c r="Y31" s="45">
        <f t="shared" si="2"/>
        <v>24477.132259809521</v>
      </c>
      <c r="Z31" s="45">
        <f t="shared" si="3"/>
        <v>24477.132259809521</v>
      </c>
    </row>
    <row r="32" spans="4:26" x14ac:dyDescent="0.3">
      <c r="E32" s="45">
        <v>225</v>
      </c>
      <c r="F32" s="45">
        <v>0</v>
      </c>
      <c r="G32" s="55">
        <v>0</v>
      </c>
      <c r="H32" s="45">
        <f t="shared" si="0"/>
        <v>0</v>
      </c>
      <c r="I32" s="45">
        <f t="shared" si="1"/>
        <v>0</v>
      </c>
      <c r="J32" s="45">
        <v>0</v>
      </c>
      <c r="X32" s="45" t="str">
        <f t="shared" si="4"/>
        <v/>
      </c>
    </row>
    <row r="33" spans="3:24" x14ac:dyDescent="0.3">
      <c r="X33" s="45" t="str">
        <f t="shared" si="4"/>
        <v/>
      </c>
    </row>
    <row r="34" spans="3:24" x14ac:dyDescent="0.3">
      <c r="X34" s="45" t="str">
        <f t="shared" si="4"/>
        <v/>
      </c>
    </row>
    <row r="35" spans="3:24" x14ac:dyDescent="0.3">
      <c r="X35" s="45" t="str">
        <f t="shared" si="4"/>
        <v/>
      </c>
    </row>
    <row r="36" spans="3:24" x14ac:dyDescent="0.3">
      <c r="X36" s="45" t="str">
        <f t="shared" si="4"/>
        <v/>
      </c>
    </row>
    <row r="39" spans="3:24" ht="14.5" x14ac:dyDescent="0.35">
      <c r="C39" s="54"/>
    </row>
    <row r="42" spans="3:24" ht="14.5" x14ac:dyDescent="0.35">
      <c r="E42"/>
    </row>
    <row r="43" spans="3:24" ht="14.5" x14ac:dyDescent="0.35">
      <c r="F4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42A7B6F-53C1-4821-988C-6DB273161AA8}">
          <x14:formula1>
            <xm:f>'ss MAIN'!$L$6:$R$6</xm:f>
          </x14:formula1>
          <xm:sqref>Y4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F2D4B-C738-4529-9954-00DB98AE43D2}">
  <sheetPr codeName="Sheet27"/>
  <dimension ref="B1:I22"/>
  <sheetViews>
    <sheetView zoomScale="130" zoomScaleNormal="130" workbookViewId="0">
      <selection activeCell="F40" sqref="F40"/>
    </sheetView>
  </sheetViews>
  <sheetFormatPr defaultRowHeight="13" x14ac:dyDescent="0.3"/>
  <cols>
    <col min="1" max="1" width="8.7265625" style="45"/>
    <col min="2" max="2" width="8.81640625" style="45" bestFit="1" customWidth="1"/>
    <col min="3" max="3" width="8.7265625" style="45"/>
    <col min="4" max="4" width="13.81640625" style="45" bestFit="1" customWidth="1"/>
    <col min="5" max="5" width="8.81640625" style="45" bestFit="1" customWidth="1"/>
    <col min="6" max="6" width="11.90625" style="45" bestFit="1" customWidth="1"/>
    <col min="7" max="7" width="8.81640625" style="45" bestFit="1" customWidth="1"/>
    <col min="8" max="8" width="13.81640625" style="45" bestFit="1" customWidth="1"/>
    <col min="9" max="9" width="9.453125" style="45" bestFit="1" customWidth="1"/>
    <col min="10" max="10" width="8.7265625" style="45"/>
    <col min="11" max="11" width="9.1796875" style="45" bestFit="1" customWidth="1"/>
    <col min="12" max="12" width="9.453125" style="45" bestFit="1" customWidth="1"/>
    <col min="13" max="16384" width="8.7265625" style="45"/>
  </cols>
  <sheetData>
    <row r="1" spans="2:9" x14ac:dyDescent="0.3">
      <c r="D1" s="45" t="s">
        <v>282</v>
      </c>
      <c r="E1" s="45">
        <v>5</v>
      </c>
    </row>
    <row r="2" spans="2:9" x14ac:dyDescent="0.3">
      <c r="B2" s="45" t="s">
        <v>78</v>
      </c>
      <c r="C2" s="45" t="s">
        <v>86</v>
      </c>
      <c r="D2" s="45" t="s">
        <v>69</v>
      </c>
      <c r="E2" s="45" t="s">
        <v>87</v>
      </c>
      <c r="F2" s="45" t="s">
        <v>132</v>
      </c>
      <c r="G2" s="45" t="s">
        <v>88</v>
      </c>
      <c r="H2" s="45" t="s">
        <v>89</v>
      </c>
      <c r="I2" s="45" t="s">
        <v>98</v>
      </c>
    </row>
    <row r="3" spans="2:9" x14ac:dyDescent="0.3">
      <c r="B3" s="45">
        <v>2</v>
      </c>
      <c r="C3" s="45" t="s">
        <v>91</v>
      </c>
      <c r="D3" s="45">
        <v>1801599.9104869999</v>
      </c>
      <c r="E3" s="45">
        <v>83303.497151999996</v>
      </c>
      <c r="F3" s="45">
        <v>335</v>
      </c>
      <c r="G3" s="45">
        <v>1261.653824</v>
      </c>
      <c r="H3" s="45">
        <v>62084.165308000003</v>
      </c>
      <c r="I3" s="45">
        <f t="shared" ref="I3:I10" si="0">D3+E3*$E$1</f>
        <v>2218117.396247</v>
      </c>
    </row>
    <row r="4" spans="2:9" x14ac:dyDescent="0.3">
      <c r="B4" s="45">
        <v>6</v>
      </c>
      <c r="C4" s="45" t="s">
        <v>91</v>
      </c>
      <c r="D4" s="45">
        <v>1251548.389857</v>
      </c>
      <c r="E4" s="45">
        <v>64708.657046</v>
      </c>
      <c r="F4" s="45">
        <v>325</v>
      </c>
      <c r="G4" s="45">
        <v>1046.8290629999999</v>
      </c>
      <c r="H4" s="45">
        <v>48255.241084000001</v>
      </c>
      <c r="I4" s="45">
        <f t="shared" si="0"/>
        <v>1575091.675087</v>
      </c>
    </row>
    <row r="5" spans="2:9" x14ac:dyDescent="0.3">
      <c r="B5" s="45">
        <v>10</v>
      </c>
      <c r="C5" s="45" t="s">
        <v>91</v>
      </c>
      <c r="D5" s="45">
        <v>828646.49299299996</v>
      </c>
      <c r="E5" s="45">
        <v>48942.218397999997</v>
      </c>
      <c r="F5" s="45">
        <v>315</v>
      </c>
      <c r="G5" s="45">
        <v>905.51139499999999</v>
      </c>
      <c r="H5" s="45">
        <v>36479.656432999996</v>
      </c>
      <c r="I5" s="45">
        <f t="shared" si="0"/>
        <v>1073357.5849830001</v>
      </c>
    </row>
    <row r="6" spans="2:9" x14ac:dyDescent="0.3">
      <c r="B6" s="45">
        <v>12</v>
      </c>
      <c r="C6" s="45" t="s">
        <v>91</v>
      </c>
      <c r="D6" s="45">
        <v>514019.77745599998</v>
      </c>
      <c r="E6" s="45">
        <v>35809.897388999998</v>
      </c>
      <c r="F6" s="45">
        <v>305</v>
      </c>
      <c r="G6" s="45">
        <v>761.72939199999996</v>
      </c>
      <c r="H6" s="45">
        <v>26699.130940999999</v>
      </c>
      <c r="I6" s="45">
        <f t="shared" si="0"/>
        <v>693069.26440099999</v>
      </c>
    </row>
    <row r="7" spans="2:9" x14ac:dyDescent="0.3">
      <c r="B7" s="45">
        <v>16</v>
      </c>
      <c r="C7" s="45" t="s">
        <v>91</v>
      </c>
      <c r="D7" s="45">
        <v>289534.590486</v>
      </c>
      <c r="E7" s="45">
        <v>24491.711243000002</v>
      </c>
      <c r="F7" s="45">
        <v>295</v>
      </c>
      <c r="G7" s="45">
        <v>615.90065100000004</v>
      </c>
      <c r="H7" s="45">
        <v>18325.605216</v>
      </c>
      <c r="I7" s="45">
        <f t="shared" si="0"/>
        <v>411993.14670099999</v>
      </c>
    </row>
    <row r="8" spans="2:9" x14ac:dyDescent="0.3">
      <c r="B8" s="45">
        <v>20</v>
      </c>
      <c r="C8" s="45" t="s">
        <v>91</v>
      </c>
      <c r="D8" s="45">
        <v>142160.06714100001</v>
      </c>
      <c r="E8" s="45">
        <v>15040.355579999999</v>
      </c>
      <c r="F8" s="45">
        <v>285</v>
      </c>
      <c r="G8" s="45">
        <v>529.56325500000003</v>
      </c>
      <c r="H8" s="45">
        <v>11343.067808</v>
      </c>
      <c r="I8" s="45">
        <f t="shared" si="0"/>
        <v>217361.84504099999</v>
      </c>
    </row>
    <row r="9" spans="2:9" x14ac:dyDescent="0.3">
      <c r="B9" s="45">
        <v>25</v>
      </c>
      <c r="C9" s="45" t="s">
        <v>91</v>
      </c>
      <c r="D9" s="45">
        <v>56908.653401000003</v>
      </c>
      <c r="E9" s="45">
        <v>7993.5785489999998</v>
      </c>
      <c r="F9" s="45">
        <v>275</v>
      </c>
      <c r="G9" s="45">
        <v>359.76376199999999</v>
      </c>
      <c r="H9" s="45">
        <v>6086.0732889999999</v>
      </c>
      <c r="I9" s="45">
        <f t="shared" si="0"/>
        <v>96876.546146000008</v>
      </c>
    </row>
    <row r="10" spans="2:9" x14ac:dyDescent="0.3">
      <c r="B10" s="45">
        <v>2</v>
      </c>
      <c r="C10" s="45" t="s">
        <v>91</v>
      </c>
      <c r="D10" s="45">
        <v>14345.513342</v>
      </c>
      <c r="E10" s="45">
        <v>3355.1667040000002</v>
      </c>
      <c r="F10" s="45">
        <v>265</v>
      </c>
      <c r="G10" s="45">
        <v>223.65092100000001</v>
      </c>
      <c r="H10" s="45">
        <v>2617.9351820000002</v>
      </c>
      <c r="I10" s="45">
        <f t="shared" si="0"/>
        <v>31121.346861999999</v>
      </c>
    </row>
    <row r="16" spans="2:9" x14ac:dyDescent="0.3">
      <c r="B16" s="45" t="s">
        <v>127</v>
      </c>
      <c r="C16" s="45" t="s">
        <v>128</v>
      </c>
    </row>
    <row r="17" spans="2:9" x14ac:dyDescent="0.3">
      <c r="B17" s="45" t="s">
        <v>85</v>
      </c>
      <c r="C17" s="45" t="s">
        <v>86</v>
      </c>
      <c r="D17" s="45" t="s">
        <v>133</v>
      </c>
      <c r="E17" s="45" t="s">
        <v>87</v>
      </c>
      <c r="F17" s="45" t="s">
        <v>132</v>
      </c>
      <c r="G17" s="45" t="s">
        <v>88</v>
      </c>
      <c r="H17" s="45" t="s">
        <v>89</v>
      </c>
      <c r="I17" s="45" t="s">
        <v>98</v>
      </c>
    </row>
    <row r="18" spans="2:9" x14ac:dyDescent="0.3">
      <c r="B18" s="45">
        <v>2</v>
      </c>
      <c r="C18" s="45" t="s">
        <v>91</v>
      </c>
      <c r="D18" s="45">
        <v>89271.204708999998</v>
      </c>
      <c r="E18" s="45">
        <v>27459.048060000001</v>
      </c>
      <c r="F18" s="45">
        <v>137</v>
      </c>
      <c r="G18" s="45">
        <v>2040.584887</v>
      </c>
      <c r="H18" s="45">
        <v>22950.254712999998</v>
      </c>
      <c r="I18" s="45">
        <f>D18+E18*$E$1</f>
        <v>226566.44500900002</v>
      </c>
    </row>
    <row r="20" spans="2:9" x14ac:dyDescent="0.3">
      <c r="B20" s="45" t="s">
        <v>138</v>
      </c>
      <c r="D20" s="45" t="s">
        <v>68</v>
      </c>
      <c r="E20" s="45">
        <v>5</v>
      </c>
    </row>
    <row r="21" spans="2:9" x14ac:dyDescent="0.3">
      <c r="B21" s="45" t="s">
        <v>85</v>
      </c>
      <c r="C21" s="45" t="s">
        <v>86</v>
      </c>
      <c r="D21" s="45" t="s">
        <v>69</v>
      </c>
      <c r="E21" s="45" t="s">
        <v>87</v>
      </c>
      <c r="F21" s="45" t="s">
        <v>137</v>
      </c>
      <c r="G21" s="45" t="s">
        <v>88</v>
      </c>
      <c r="H21" s="45" t="s">
        <v>89</v>
      </c>
      <c r="I21" s="45" t="s">
        <v>98</v>
      </c>
    </row>
    <row r="22" spans="2:9" x14ac:dyDescent="0.3">
      <c r="B22" s="45">
        <v>300</v>
      </c>
      <c r="C22" s="45" t="s">
        <v>91</v>
      </c>
      <c r="D22" s="45">
        <v>305857.068272</v>
      </c>
      <c r="E22" s="45">
        <v>25186.335292</v>
      </c>
      <c r="F22" s="45">
        <v>1</v>
      </c>
      <c r="G22" s="45">
        <v>647.56303800000001</v>
      </c>
      <c r="H22" s="45">
        <v>18835.696574000001</v>
      </c>
      <c r="I22" s="45">
        <f>D22+E22*$E$1</f>
        <v>431788.74473199999</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86401e03-33b2-46a4-8eab-3627ec1a6ce1">
      <Terms xmlns="http://schemas.microsoft.com/office/infopath/2007/PartnerControls"/>
    </lcf76f155ced4ddcb4097134ff3c332f>
    <TaxCatchAll xmlns="1899bab1-6836-483b-a853-1d5b21d0acf5" xsi:nil="true"/>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DD33E6CA7CD52948ACCA2BBF525D2442" ma:contentTypeVersion="12" ma:contentTypeDescription="Create a new document." ma:contentTypeScope="" ma:versionID="0a40e7efa2fb88ce7d24a2897bf2c8dc">
  <xsd:schema xmlns:xsd="http://www.w3.org/2001/XMLSchema" xmlns:xs="http://www.w3.org/2001/XMLSchema" xmlns:p="http://schemas.microsoft.com/office/2006/metadata/properties" xmlns:ns2="86401e03-33b2-46a4-8eab-3627ec1a6ce1" xmlns:ns3="1899bab1-6836-483b-a853-1d5b21d0acf5" targetNamespace="http://schemas.microsoft.com/office/2006/metadata/properties" ma:root="true" ma:fieldsID="bc9f364aa5da6e5448ae027f9330c58d" ns2:_="" ns3:_="">
    <xsd:import namespace="86401e03-33b2-46a4-8eab-3627ec1a6ce1"/>
    <xsd:import namespace="1899bab1-6836-483b-a853-1d5b21d0acf5"/>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DateTaken" minOccurs="0"/>
                <xsd:element ref="ns2:MediaServiceGenerationTime" minOccurs="0"/>
                <xsd:element ref="ns2:MediaServiceEventHashCode" minOccurs="0"/>
                <xsd:element ref="ns2:MediaServiceOCR" minOccurs="0"/>
                <xsd:element ref="ns2:MediaLengthInSeconds"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401e03-33b2-46a4-8eab-3627ec1a6ce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e519f406-8a89-4272-98b5-53eb877072db" ma:termSetId="09814cd3-568e-fe90-9814-8d621ff8fb84" ma:anchorId="fba54fb3-c3e1-fe81-a776-ca4b69148c4d" ma:open="true" ma:isKeyword="false">
      <xsd:complexType>
        <xsd:sequence>
          <xsd:element ref="pc:Terms" minOccurs="0" maxOccurs="1"/>
        </xsd:sequence>
      </xsd:complexType>
    </xsd:element>
    <xsd:element name="MediaServiceDateTaken" ma:index="13" nillable="true" ma:displayName="MediaServiceDateTaken" ma:hidden="true"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Location" ma:index="19"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899bab1-6836-483b-a853-1d5b21d0acf5"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bde21c0c-6f5b-4271-b3c2-99ae184d4e40}" ma:internalName="TaxCatchAll" ma:showField="CatchAllData" ma:web="1899bab1-6836-483b-a853-1d5b21d0acf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16091B1-BF73-4359-A22A-CEF10DE18E0B}">
  <ds:schemaRefs>
    <ds:schemaRef ds:uri="http://schemas.microsoft.com/sharepoint/v3/contenttype/forms"/>
  </ds:schemaRefs>
</ds:datastoreItem>
</file>

<file path=customXml/itemProps2.xml><?xml version="1.0" encoding="utf-8"?>
<ds:datastoreItem xmlns:ds="http://schemas.openxmlformats.org/officeDocument/2006/customXml" ds:itemID="{21D57197-364A-4EC9-9970-950CF816327D}">
  <ds:schemaRefs>
    <ds:schemaRef ds:uri="http://purl.org/dc/elements/1.1/"/>
    <ds:schemaRef ds:uri="http://schemas.microsoft.com/office/infopath/2007/PartnerControls"/>
    <ds:schemaRef ds:uri="http://schemas.microsoft.com/office/2006/documentManagement/types"/>
    <ds:schemaRef ds:uri="http://schemas.openxmlformats.org/package/2006/metadata/core-properties"/>
    <ds:schemaRef ds:uri="http://schemas.microsoft.com/office/2006/metadata/properties"/>
    <ds:schemaRef ds:uri="http://purl.org/dc/dcmitype/"/>
    <ds:schemaRef ds:uri="http://purl.org/dc/terms/"/>
    <ds:schemaRef ds:uri="1899bab1-6836-483b-a853-1d5b21d0acf5"/>
    <ds:schemaRef ds:uri="86401e03-33b2-46a4-8eab-3627ec1a6ce1"/>
    <ds:schemaRef ds:uri="http://www.w3.org/XML/1998/namespace"/>
  </ds:schemaRefs>
</ds:datastoreItem>
</file>

<file path=customXml/itemProps3.xml><?xml version="1.0" encoding="utf-8"?>
<ds:datastoreItem xmlns:ds="http://schemas.openxmlformats.org/officeDocument/2006/customXml" ds:itemID="{4C759300-5072-477F-BAA9-DD73EFE1C91D}">
  <ds:schemaRefs>
    <ds:schemaRef ds:uri="http://schemas.microsoft.com/DataMashup"/>
  </ds:schemaRefs>
</ds:datastoreItem>
</file>

<file path=customXml/itemProps4.xml><?xml version="1.0" encoding="utf-8"?>
<ds:datastoreItem xmlns:ds="http://schemas.openxmlformats.org/officeDocument/2006/customXml" ds:itemID="{027391DA-0AB2-4B76-92B3-10D55384710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6401e03-33b2-46a4-8eab-3627ec1a6ce1"/>
    <ds:schemaRef ds:uri="1899bab1-6836-483b-a853-1d5b21d0acf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96</vt:i4>
      </vt:variant>
    </vt:vector>
  </HeadingPairs>
  <TitlesOfParts>
    <vt:vector size="104" baseType="lpstr">
      <vt:lpstr>MAIN Options (revised)</vt:lpstr>
      <vt:lpstr>Main Opt Rev 2</vt:lpstr>
      <vt:lpstr>Sheet1</vt:lpstr>
      <vt:lpstr>Logic</vt:lpstr>
      <vt:lpstr>ss MAIN</vt:lpstr>
      <vt:lpstr>MAIN Options</vt:lpstr>
      <vt:lpstr>Res Vol</vt:lpstr>
      <vt:lpstr>Dam VOl</vt:lpstr>
      <vt:lpstr>'MAIN Options (revised)'!Dia</vt:lpstr>
      <vt:lpstr>Dia</vt:lpstr>
      <vt:lpstr>e_P</vt:lpstr>
      <vt:lpstr>e_T</vt:lpstr>
      <vt:lpstr>'MAIN Options (revised)'!Flow_gen</vt:lpstr>
      <vt:lpstr>Flow_gen</vt:lpstr>
      <vt:lpstr>g</vt:lpstr>
      <vt:lpstr>head_calc</vt:lpstr>
      <vt:lpstr>head_guess</vt:lpstr>
      <vt:lpstr>head_res</vt:lpstr>
      <vt:lpstr>Head_table</vt:lpstr>
      <vt:lpstr>'MAIN Options (revised)'!headloss</vt:lpstr>
      <vt:lpstr>headloss</vt:lpstr>
      <vt:lpstr>'MAIN Options (revised)'!HGavg</vt:lpstr>
      <vt:lpstr>HGavg</vt:lpstr>
      <vt:lpstr>'MAIN Options (revised)'!HGmax</vt:lpstr>
      <vt:lpstr>HGmax</vt:lpstr>
      <vt:lpstr>'MAIN Options (revised)'!HGmin</vt:lpstr>
      <vt:lpstr>HGmin</vt:lpstr>
      <vt:lpstr>'MAIN Options (revised)'!Hmax</vt:lpstr>
      <vt:lpstr>Hmax</vt:lpstr>
      <vt:lpstr>'MAIN Options (revised)'!Hp_max</vt:lpstr>
      <vt:lpstr>Hp_max</vt:lpstr>
      <vt:lpstr>'MAIN Options (revised)'!Hp_min</vt:lpstr>
      <vt:lpstr>Hp_min</vt:lpstr>
      <vt:lpstr>'MAIN Options (revised)'!Hp_rated</vt:lpstr>
      <vt:lpstr>Hp_rated</vt:lpstr>
      <vt:lpstr>hrs</vt:lpstr>
      <vt:lpstr>'MAIN Options (revised)'!Ht_max</vt:lpstr>
      <vt:lpstr>Ht_max</vt:lpstr>
      <vt:lpstr>'MAIN Options (revised)'!Ht_min</vt:lpstr>
      <vt:lpstr>Ht_min</vt:lpstr>
      <vt:lpstr>'MAIN Options (revised)'!Ht_rated</vt:lpstr>
      <vt:lpstr>Ht_rated</vt:lpstr>
      <vt:lpstr>i_fixed_speed</vt:lpstr>
      <vt:lpstr>i_inputs</vt:lpstr>
      <vt:lpstr>i_l_excav</vt:lpstr>
      <vt:lpstr>i_l_fsl</vt:lpstr>
      <vt:lpstr>i_l_mol</vt:lpstr>
      <vt:lpstr>i_message</vt:lpstr>
      <vt:lpstr>'MAIN Options (revised)'!i_pasteflow</vt:lpstr>
      <vt:lpstr>i_pasteflow</vt:lpstr>
      <vt:lpstr>i_res_gov</vt:lpstr>
      <vt:lpstr>i_solve_power</vt:lpstr>
      <vt:lpstr>i_u_excav</vt:lpstr>
      <vt:lpstr>i_u_fsl</vt:lpstr>
      <vt:lpstr>i_u_mol</vt:lpstr>
      <vt:lpstr>i_use_excav</vt:lpstr>
      <vt:lpstr>i_WL</vt:lpstr>
      <vt:lpstr>i_WL_VOL_result</vt:lpstr>
      <vt:lpstr>'MAIN Options (revised)'!ipastehl</vt:lpstr>
      <vt:lpstr>l_fsl_fix</vt:lpstr>
      <vt:lpstr>l_mol_fix</vt:lpstr>
      <vt:lpstr>'MAIN Options (revised)'!LFSL</vt:lpstr>
      <vt:lpstr>LFSL</vt:lpstr>
      <vt:lpstr>live_vol_trial</vt:lpstr>
      <vt:lpstr>'MAIN Options (revised)'!LMOL</vt:lpstr>
      <vt:lpstr>LMOL</vt:lpstr>
      <vt:lpstr>LRvol</vt:lpstr>
      <vt:lpstr>LRy</vt:lpstr>
      <vt:lpstr>'MAIN Options (revised)'!Poweer</vt:lpstr>
      <vt:lpstr>Poweer</vt:lpstr>
      <vt:lpstr>'MAIN Options (revised)'!Power</vt:lpstr>
      <vt:lpstr>Power</vt:lpstr>
      <vt:lpstr>power_table</vt:lpstr>
      <vt:lpstr>red_vol</vt:lpstr>
      <vt:lpstr>'MAIN Options (revised)'!Scen</vt:lpstr>
      <vt:lpstr>Scen</vt:lpstr>
      <vt:lpstr>'MAIN Options (revised)'!Surge_x</vt:lpstr>
      <vt:lpstr>Surge_x</vt:lpstr>
      <vt:lpstr>'MAIN Options (revised)'!Thoma_A</vt:lpstr>
      <vt:lpstr>Thoma_A</vt:lpstr>
      <vt:lpstr>'MAIN Options (revised)'!Tm_hadley</vt:lpstr>
      <vt:lpstr>Tm_hadley</vt:lpstr>
      <vt:lpstr>u_fsl_fix</vt:lpstr>
      <vt:lpstr>u_mol_fix</vt:lpstr>
      <vt:lpstr>UDAMVOL</vt:lpstr>
      <vt:lpstr>UDAMy</vt:lpstr>
      <vt:lpstr>'MAIN Options (revised)'!UFSL</vt:lpstr>
      <vt:lpstr>UFSL</vt:lpstr>
      <vt:lpstr>'MAIN Options (revised)'!UMOL</vt:lpstr>
      <vt:lpstr>UMOL</vt:lpstr>
      <vt:lpstr>URVOL</vt:lpstr>
      <vt:lpstr>URy</vt:lpstr>
      <vt:lpstr>'MAIN Options (revised)'!V_HPtunnel</vt:lpstr>
      <vt:lpstr>V_HPtunnel</vt:lpstr>
      <vt:lpstr>'MAIN Options (revised)'!V_hr</vt:lpstr>
      <vt:lpstr>V_hr</vt:lpstr>
      <vt:lpstr>'MAIN Options (revised)'!V_penstock</vt:lpstr>
      <vt:lpstr>V_penstock</vt:lpstr>
      <vt:lpstr>'MAIN Options (revised)'!V_Steel</vt:lpstr>
      <vt:lpstr>V_Steel</vt:lpstr>
      <vt:lpstr>vol_paste</vt:lpstr>
      <vt:lpstr>volume_table</vt:lpstr>
      <vt:lpstr>watch_cell</vt:lpstr>
      <vt:lpstr>wl_copy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Jeremy KENT-JOHNSTON</dc:creator>
  <cp:keywords/>
  <dc:description/>
  <cp:lastModifiedBy>Jeremy Kent-Johnston</cp:lastModifiedBy>
  <cp:revision/>
  <cp:lastPrinted>2023-06-14T03:23:06Z</cp:lastPrinted>
  <dcterms:created xsi:type="dcterms:W3CDTF">2022-02-16T19:12:49Z</dcterms:created>
  <dcterms:modified xsi:type="dcterms:W3CDTF">2023-10-17T21:12:24Z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0x010100DD33E6CA7CD52948ACCA2BBF525D2442</vt:lpwstr>
  </property>
  <property fmtid="{D5CDD505-2E9C-101B-9397-08002B2CF9AE}" pid="3" name="MediaServiceImageTags">
    <vt:lpwstr/>
  </property>
  <property fmtid="{D5CDD505-2E9C-101B-9397-08002B2CF9AE}" pid="4" name="Order">
    <vt:r8>2128100</vt:r8>
  </property>
  <property fmtid="{D5CDD505-2E9C-101B-9397-08002B2CF9AE}" pid="5" name="_ExtendedDescription">
    <vt:lpwstr/>
  </property>
  <property fmtid="{D5CDD505-2E9C-101B-9397-08002B2CF9AE}" pid="6" name="TriggerFlowInfo">
    <vt:lpwstr/>
  </property>
  <property fmtid="{D5CDD505-2E9C-101B-9397-08002B2CF9AE}" pid="7" name="ComplianceAssetId">
    <vt:lpwstr/>
  </property>
</Properties>
</file>