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ustralianhydro.sharepoint.com/sites/ModelsandData/Shared Documents/Models/2023 - Hydro workbench/Res_calc/"/>
    </mc:Choice>
  </mc:AlternateContent>
  <xr:revisionPtr revIDLastSave="0" documentId="8_{6B9CE5AA-92FC-428A-9751-66F49354E45B}" xr6:coauthVersionLast="47" xr6:coauthVersionMax="47" xr10:uidLastSave="{00000000-0000-0000-0000-000000000000}"/>
  <bookViews>
    <workbookView xWindow="-110" yWindow="-110" windowWidth="38620" windowHeight="21100" xr2:uid="{3A793D6B-52C0-4294-BBCB-4F54F5162D40}"/>
  </bookViews>
  <sheets>
    <sheet name="Sheet1" sheetId="1" r:id="rId1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7" i="1" l="1"/>
  <c r="Z37" i="1" s="1"/>
  <c r="AB37" i="1" s="1"/>
  <c r="V36" i="1"/>
  <c r="V38" i="1" s="1"/>
  <c r="V40" i="1" s="1"/>
  <c r="W7" i="1"/>
  <c r="V6" i="1"/>
  <c r="V13" i="1"/>
  <c r="W33" i="1" a="1"/>
  <c r="W32" i="1" a="1"/>
  <c r="V33" i="1" a="1"/>
  <c r="V32" i="1" a="1"/>
  <c r="W23" i="1" a="1"/>
  <c r="V23" i="1" a="1"/>
  <c r="W22" i="1" a="1"/>
  <c r="V22" i="1" a="1"/>
  <c r="W33" i="1" l="1"/>
  <c r="W32" i="1"/>
  <c r="V33" i="1"/>
  <c r="V32" i="1"/>
  <c r="V42" i="1"/>
  <c r="V43" i="1" s="1"/>
  <c r="V12" i="1"/>
  <c r="V14" i="1" s="1"/>
  <c r="V16" i="1" s="1"/>
  <c r="V18" i="1" s="1"/>
  <c r="V19" i="1" s="1"/>
  <c r="Q9" i="1" s="1"/>
  <c r="Q11" i="1" s="1"/>
  <c r="W23" i="1"/>
  <c r="V23" i="1"/>
  <c r="W22" i="1"/>
  <c r="V22" i="1"/>
  <c r="W34" i="1" l="1"/>
  <c r="W35" i="1" s="1"/>
  <c r="V34" i="1"/>
  <c r="V35" i="1" s="1"/>
  <c r="V24" i="1"/>
  <c r="V25" i="1" s="1"/>
  <c r="W24" i="1"/>
  <c r="W2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<sst xmlns="http://schemas.openxmlformats.org/spreadsheetml/2006/main" count="49" uniqueCount="32">
  <si>
    <t>POWER</t>
  </si>
  <si>
    <t>MW</t>
  </si>
  <si>
    <t>g</t>
  </si>
  <si>
    <t>eff_T</t>
  </si>
  <si>
    <t>FSL</t>
  </si>
  <si>
    <t>MOL</t>
  </si>
  <si>
    <t>Upper</t>
  </si>
  <si>
    <t>Lower</t>
  </si>
  <si>
    <t>Hmax</t>
  </si>
  <si>
    <t>Hmin</t>
  </si>
  <si>
    <t>Rated Head (gross)</t>
  </si>
  <si>
    <t>Havg</t>
  </si>
  <si>
    <t>Head loss</t>
  </si>
  <si>
    <t>of rated gross head</t>
  </si>
  <si>
    <t>Net head rated</t>
  </si>
  <si>
    <t>Q</t>
  </si>
  <si>
    <t>m³/s</t>
  </si>
  <si>
    <t>Hours of operation</t>
  </si>
  <si>
    <t>hrs</t>
  </si>
  <si>
    <t>Volume</t>
  </si>
  <si>
    <t>LIVE</t>
  </si>
  <si>
    <t xml:space="preserve"> </t>
  </si>
  <si>
    <t>Elevation</t>
  </si>
  <si>
    <t>Reservoir Volume</t>
  </si>
  <si>
    <t>FSL Vol</t>
  </si>
  <si>
    <t>MOL VOL</t>
  </si>
  <si>
    <t>GL</t>
  </si>
  <si>
    <t>1 GL = 1x10^6 m³</t>
  </si>
  <si>
    <t>USER inputs</t>
  </si>
  <si>
    <t>u FSL</t>
  </si>
  <si>
    <t>l MOL</t>
  </si>
  <si>
    <t>Head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</si>
</sst>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6" formatCode="#,##0.0;\-#,##0.0;\-"/>
    <numFmt numFmtId="167" formatCode="#,##0.00,,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2" applyFont="1"/>
    <xf numFmtId="9" fontId="0" fillId="0" borderId="0" xfId="0" applyNumberFormat="1"/>
    <xf numFmtId="166" fontId="3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166" fontId="3" fillId="2" borderId="0" xfId="0" applyNumberFormat="1" applyFont="1" applyFill="1" applyAlignment="1">
      <alignment horizontal="center"/>
    </xf>
    <xf numFmtId="166" fontId="3" fillId="2" borderId="0" xfId="1" applyNumberFormat="1" applyFont="1" applyFill="1" applyAlignment="1">
      <alignment horizontal="center"/>
    </xf>
    <xf numFmtId="167" fontId="4" fillId="0" borderId="1" xfId="0" applyNumberFormat="1" applyFont="1" applyBorder="1" applyAlignment="1">
      <alignment horizontal="center" vertical="center"/>
    </xf>
    <xf numFmtId="0" fontId="2" fillId="3" borderId="0" xfId="0" applyFont="1" applyFill="1"/>
    <xf numFmtId="43" fontId="4" fillId="0" borderId="1" xfId="1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370920</xdr:colOff>
      <xdr:row>1</xdr:row>
      <xdr:rowOff>145970</xdr:rowOff>
    </xdr:from>
    <xdr:to>
      <xdr:col>8</xdr:col>
      <xdr:colOff>217920</xdr:colOff>
      <xdr:row>6</xdr:row>
      <xdr:rowOff>97500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970D6ACD-A1C5-D4A7-6907-D671D3C01297}"/>
                </a:ext>
              </a:extLst>
            </xdr14:cNvPr>
            <xdr14:cNvContentPartPr/>
          </xdr14:nvContentPartPr>
          <xdr14:nvPr macro=""/>
          <xdr14:xfrm>
            <a:off x="3418920" y="330120"/>
            <a:ext cx="1675800" cy="872280"/>
          </xdr14:xfrm>
        </xdr:contentPart>
      </mc:Choice>
      <mc:Fallback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970D6ACD-A1C5-D4A7-6907-D671D3C0129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409920" y="321120"/>
              <a:ext cx="1693440" cy="88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385800</xdr:colOff>
      <xdr:row>4</xdr:row>
      <xdr:rowOff>74120</xdr:rowOff>
    </xdr:from>
    <xdr:to>
      <xdr:col>4</xdr:col>
      <xdr:colOff>547800</xdr:colOff>
      <xdr:row>8</xdr:row>
      <xdr:rowOff>64720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8F4087D7-FFB2-508E-8115-A8F8FCC53BF7}"/>
                </a:ext>
              </a:extLst>
            </xdr14:cNvPr>
            <xdr14:cNvContentPartPr/>
          </xdr14:nvContentPartPr>
          <xdr14:nvPr macro=""/>
          <xdr14:xfrm>
            <a:off x="995400" y="810720"/>
            <a:ext cx="1990800" cy="727200"/>
          </xdr14:xfrm>
        </xdr:contentPart>
      </mc:Choice>
      <mc:Fallback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8F4087D7-FFB2-508E-8115-A8F8FCC53BF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86400" y="801716"/>
              <a:ext cx="2008440" cy="7448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138840</xdr:colOff>
      <xdr:row>9</xdr:row>
      <xdr:rowOff>88290</xdr:rowOff>
    </xdr:from>
    <xdr:to>
      <xdr:col>4</xdr:col>
      <xdr:colOff>526560</xdr:colOff>
      <xdr:row>14</xdr:row>
      <xdr:rowOff>148900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A148D2E6-C620-3C55-C3F3-88C0427F9574}"/>
                </a:ext>
              </a:extLst>
            </xdr14:cNvPr>
            <xdr14:cNvContentPartPr/>
          </xdr14:nvContentPartPr>
          <xdr14:nvPr macro=""/>
          <xdr14:xfrm>
            <a:off x="748440" y="1745640"/>
            <a:ext cx="2216520" cy="981360"/>
          </xdr14:xfrm>
        </xdr:contentPart>
      </mc:Choice>
      <mc:Fallback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A148D2E6-C620-3C55-C3F3-88C0427F957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39440" y="1737000"/>
              <a:ext cx="2234160" cy="9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276240</xdr:colOff>
      <xdr:row>8</xdr:row>
      <xdr:rowOff>80560</xdr:rowOff>
    </xdr:from>
    <xdr:to>
      <xdr:col>10</xdr:col>
      <xdr:colOff>49920</xdr:colOff>
      <xdr:row>12</xdr:row>
      <xdr:rowOff>138120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DA005889-BD18-0F12-49AB-B19C23EC3974}"/>
                </a:ext>
              </a:extLst>
            </xdr14:cNvPr>
            <xdr14:cNvContentPartPr/>
          </xdr14:nvContentPartPr>
          <xdr14:nvPr macro=""/>
          <xdr14:xfrm>
            <a:off x="3324240" y="1553760"/>
            <a:ext cx="2821680" cy="794160"/>
          </xdr14:xfrm>
        </xdr:contentPart>
      </mc:Choice>
      <mc:Fallback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DA005889-BD18-0F12-49AB-B19C23EC397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315599" y="1545120"/>
              <a:ext cx="2839322" cy="8118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4T02:42:48.1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735 120 17967 0 0,'-5'-2'182'0'0,"0"-1"0"0"0,-1 1 0 0 0,1 0-1 0 0,0 0 1 0 0,-1 1 0 0 0,1 0 0 0 0,0 0-1 0 0,-1 0 1 0 0,0 0 0 0 0,1 1 0 0 0,-1 0 0 0 0,1 0-1 0 0,-1 1 1 0 0,0-1 0 0 0,1 1 0 0 0,0 1-1 0 0,-8 1 1 0 0,-6 5-106 0 0,0 0 0 0 0,0 1 1 0 0,1 1-1 0 0,0 0 0 0 0,0 2 0 0 0,2 0 0 0 0,-1 1 0 0 0,2 0 0 0 0,-21 22 1 0 0,-2 9-493 0 0,1 1 0 0 0,-34 56 1 0 0,34-40 291 0 0,1 2-1 0 0,4 1 1 0 0,2 1 0 0 0,4 2 0 0 0,-19 72 0 0 0,21-44 807 0 0,3 0 1 0 0,6 2 0 0 0,-6 116-1 0 0,19-144-316 0 0,3 0-1 0 0,13 103 0 0 0,-6-126-257 0 0,1 1-1 0 0,3-2 0 0 0,2 0 0 0 0,30 70 0 0 0,-16-61-108 0 0,20 26 0 0 0,4-6 0 0 0,-38-54-3 0 0,-5-8-24 0 0,1 0 1 0 0,17 17-1 0 0,-18-18-3 0 0,-4-5 4 0 0,0 0-1 0 0,1 0 1 0 0,-1-1-1 0 0,1 0 1 0 0,10 7-1 0 0,23 18-101 0 0,-30-22-136 0 0,5-1-65 0 0,43 22-14 0 0,-55-28 302 0 0,1 0-1 0 0,-1 0 1 0 0,0 0 0 0 0,1 0-1 0 0,-1 0 1 0 0,1 0 0 0 0,-1 0-1 0 0,4 0 1 0 0,37 6-450 0 0,-22-6-55 0 0,-8 0 357 0 0,-6-1 33 0 0,-1 0 1 0 0,1 0-1 0 0,-1-1 1 0 0,0 0-1 0 0,1 0 1 0 0,9-3 0 0 0,36-8-1231 0 0,-10-3-286 0 0</inkml:trace>
  <inkml:trace contextRef="#ctx0" brushRef="#br0" timeOffset="391.53">1432 613 13359 0 0,'-7'-6'4339'0'0,"18"17"-1378"0"0,-11-9-2454 0 0,3 6-68 0 0,1 6-386 0 0,0 1 1 0 0,-1 0 0 0 0,0 1 0 0 0,-2-1-1 0 0,1 31 1 0 0,-55 440-1606 0 0,37-402 1570 0 0,-4-1-1 0 0,-52 139 0 0 0,70-217-25 0 0,-2 5-560 0 0,-6 23 114 0 0,7-12-5484 0 0,3-13 134 0 0</inkml:trace>
  <inkml:trace contextRef="#ctx0" brushRef="#br0" timeOffset="844.36">1955 1127 17503 0 0,'-14'11'-264'0'0,"0"-1"0"0"0,-1-1 0 0 0,0 0 0 0 0,0-1 0 0 0,-1 0 0 0 0,0-2 0 0 0,0 0 0 0 0,-1 0 0 0 0,0-2 0 0 0,-23 4 0 0 0,-14-2-2010 0 0,-107-1 1 0 0,121-5 2092 0 0,24 0 1433 0 0,1 1 1 0 0,-1 1-1 0 0,-18 4 0 0 0,28-5-864 0 0,1 0-1 0 0,0 0 1 0 0,0 1 0 0 0,0 0 0 0 0,1 0-1 0 0,-1 0 1 0 0,0 1 0 0 0,1 0 0 0 0,-1 0-1 0 0,1 0 1 0 0,0 0 0 0 0,0 0 0 0 0,-4 6 0 0 0,7-8-257 0 0,0 1 0 0 0,0 0 0 0 0,0-1 1 0 0,0 1-1 0 0,1 0 0 0 0,-1-1 1 0 0,0 1-1 0 0,1 0 0 0 0,0 0 0 0 0,-1 0 1 0 0,1 0-1 0 0,0 0 0 0 0,0-1 1 0 0,0 1-1 0 0,0 0 0 0 0,1 3 0 0 0,-1-3 403 0 0,7 6-465 0 0,19 28-5 0 0,-25-35-60 0 0,0 0 0 0 0,0 1 0 0 0,0-1 1 0 0,0 0-1 0 0,0 0 0 0 0,0 0 0 0 0,0 0 0 0 0,0 0 0 0 0,1 0 0 0 0,-1 0 0 0 0,0 0 0 0 0,3 1 0 0 0,51 25 7 0 0,-36-20-11 0 0,32 8 0 0 0,26 3 0 0 0,-8-4 0 0 0,5 2 0 0 0,4 2 0 0 0,15 1 67 0 0,-18-5 13 0 0,-18-3-67 0 0,-3-1-46 0 0,-31-6-271 0 0,-16-2 218 0 0,0-1-1 0 0,0 0 1 0 0,0 0-1 0 0,11-1 1 0 0,1 0-1298 0 0</inkml:trace>
  <inkml:trace contextRef="#ctx0" brushRef="#br0" timeOffset="1450.91">2687 730 18431 0 0,'0'1'121'0'0,"0"-1"0"0"0,-1 1 0 0 0,1 0 0 0 0,-1 0 0 0 0,1 0 0 0 0,0-1-1 0 0,-1 1 1 0 0,1 0 0 0 0,0 0 0 0 0,0 0 0 0 0,0 0 0 0 0,0 0 0 0 0,0 0 0 0 0,0-1 0 0 0,0 1 0 0 0,0 0-1 0 0,0 0 1 0 0,0 0 0 0 0,0 1 0 0 0,8 25 925 0 0,0 2-19 0 0,1 35-855 0 0,-3 1 1 0 0,-2 0 0 0 0,-6 73-1 0 0,-3-53-608 0 0,9 110 0 0 0,-1-183 394 0 0,10 24 31 0 0,13 2 35 0 0,-20-30 223 0 0,2-10-126 0 0,-3 1-97 0 0,1-1 0 0 0,-1 1 0 0 0,0-1 0 0 0,0 0 0 0 0,0-1 0 0 0,0 1 0 0 0,0-1 0 0 0,-1 0 0 0 0,1 0 0 0 0,-1 0 0 0 0,0-1 0 0 0,6-5 0 0 0,20-32 66 0 0,-2-1 0 0 0,-1-1 0 0 0,30-69 0 0 0,127-289-90 0 0,-181 395 0 0 0,-1 1 0 0 0,1-1 0 0 0,0 0 0 0 0,0 1 0 0 0,0 0 0 0 0,1 0 0 0 0,-1 0 0 0 0,6-5 0 0 0,-9 10 0 0 0,1-1 0 0 0,-1 1 0 0 0,0 0 0 0 0,1 0 0 0 0,-1 0 0 0 0,0 0 0 0 0,0 0 0 0 0,1 0 0 0 0,-1 0 0 0 0,0 0 0 0 0,1 0 0 0 0,-1 0 0 0 0,0 0 0 0 0,0 0 0 0 0,1 0 0 0 0,-1 0 0 0 0,0 0 0 0 0,1 0 0 0 0,-1 0 0 0 0,0 0 0 0 0,0 0 0 0 0,1 0 0 0 0,-1 1 0 0 0,0-1 0 0 0,1 0 0 0 0,-1 0 0 0 0,0 0 0 0 0,0 0 0 0 0,0 1 0 0 0,1-1 0 0 0,-1 0 0 0 0,0 0 0 0 0,0 1 0 0 0,0-1 0 0 0,1 0 0 0 0,-1 0 0 0 0,0 1 0 0 0,0-1 0 0 0,0 0 0 0 0,0 0 0 0 0,0 1 0 0 0,0-1 0 0 0,0 0 0 0 0,1 0 0 0 0,-1 1 0 0 0,0-1 0 0 0,0 0 0 0 0,0 1 0 0 0,0-1 0 0 0,0 0 0 0 0,0 1 0 0 0,-1-1 0 0 0,4 19 0 0 0,-3-19 0 0 0,1 109-206 0 0,-1-55-23 0 0,7 63 0 0 0,-1-84 149 0 0,-4-20 68 0 0,-1-9 4 0 0,0 1 0 0 0,0 0 0 0 0,0-1 0 0 0,0 1 0 0 0,1-1 0 0 0,0 1 0 0 0,4 6 0 0 0,18 36-4 0 0,3-6 23 0 0,-21-34 210 0 0,5-1-120 0 0,31 15 58 0 0,-31-16 29 0 0,-2-5 4 0 0,25-2-8 0 0,-25 2-33 0 0,1-3-14 0 0,2 2-93 0 0,-7 0-14 0 0,1 0-1 0 0,-1 0 0 0 0,1 0 1 0 0,-1-1-1 0 0,1 1 0 0 0,7-5 0 0 0,2-1-5 0 0,0 0 0 0 0,-1-1 0 0 0,0-1 0 0 0,0 0 0 0 0,-1 0-1 0 0,20-20 1 0 0,-18 12-57 0 0,-2-1 1 0 0,0 0-1 0 0,-1-1 0 0 0,-1 0 1 0 0,-1 0-1 0 0,0-1 0 0 0,-2-1 1 0 0,0 1-1 0 0,-1-2 0 0 0,4-23 0 0 0,2-27-1249 0 0,6-124-1 0 0,-18 177 974 0 0,2-23-745 0 0</inkml:trace>
  <inkml:trace contextRef="#ctx0" brushRef="#br0" timeOffset="1902.65">3875 0 18431 0 0,'-1'1'40'0'0,"0"-1"-1"0"0,1 1 1 0 0,-1-1-1 0 0,1 1 1 0 0,-1-1-1 0 0,1 1 1 0 0,-1-1 0 0 0,1 1-1 0 0,0 0 1 0 0,-1-1-1 0 0,1 1 1 0 0,0 0-1 0 0,-1-1 1 0 0,1 1-1 0 0,0 0 1 0 0,0-1-1 0 0,0 1 1 0 0,0 0-1 0 0,-1-1 1 0 0,1 1 0 0 0,0 0-1 0 0,0 0 1 0 0,0-1-1 0 0,1 1 1 0 0,-1 0-1 0 0,0-1 1 0 0,0 1-1 0 0,0 0 1 0 0,0 0-1 0 0,1-1 1 0 0,-1 1-1 0 0,0 0 1 0 0,1-1 0 0 0,-1 1-1 0 0,0-1 1 0 0,1 1-1 0 0,-1 0 1 0 0,1-1-1 0 0,-1 1 1 0 0,1-1-1 0 0,-1 1 1 0 0,1-1-1 0 0,-1 0 1 0 0,1 1-1 0 0,0-1 1 0 0,-1 1-1 0 0,1-1 1 0 0,0 0 0 0 0,-1 1-1 0 0,1-1 1 0 0,0 0-1 0 0,-1 0 1 0 0,1 0-1 0 0,1 1 1 0 0,-1-1 137 0 0,9 6-1 0 0,53 30 260 0 0,12 6 120 0 0,-8-6-323 0 0,15 9-186 0 0,-4 3-47 0 0,-4 9 0 0 0,-3 11 0 0 0,-4 8 0 0 0,-5 3 0 0 0,-11 3 0 0 0,-40-61 20 0 0,0 0 0 0 0,-2 0 0 0 0,0 1 0 0 0,5 24 0 0 0,-9-25 75 0 0,0 1 0 0 0,-2 0 0 0 0,-1 0 1 0 0,-1-1-1 0 0,0 1 0 0 0,-2 0 0 0 0,-1 0 0 0 0,-8 42 0 0 0,2-34 33 0 0,-1 1-1 0 0,-1-1 1 0 0,-2-1 0 0 0,-1 0-1 0 0,-25 40 1 0 0,5-18 58 0 0,-2-3 1 0 0,-44 49-1 0 0,-85 74 52 0 0,108-117-238 0 0,-3-2 0 0 0,-2-2 1 0 0,-2-4-1 0 0,-100 57 0 0 0,98-70-1180 0 0,0-2-4528 0 0,2-3-1964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4T02:42:45.6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495 525 16127 0 0,'-10'-5'1350'0'0,"8"4"-1306"0"0,0 0 0 0 0,0 1 0 0 0,0-1 0 0 0,0 0 0 0 0,0-1 0 0 0,0 1 0 0 0,1 0 0 0 0,-1 0 0 0 0,0-1 0 0 0,1 1 0 0 0,-3-3 0 0 0,5 4 125 0 0,1 1 1 0 0,-1-1 0 0 0,0 1 0 0 0,0-1 0 0 0,0 1 0 0 0,0 0 0 0 0,0-1-1 0 0,0 1 1 0 0,0 0 0 0 0,0 0 0 0 0,-1 0 0 0 0,1-1 0 0 0,0 1 0 0 0,1 2 0 0 0,4 10 134 0 0,-1 0 1 0 0,0 0 0 0 0,0 1-1 0 0,-1 0 1 0 0,4 27 0 0 0,-1-3-107 0 0,19 87-148 0 0,-5 1 0 0 0,-7 1 0 0 0,-4 0 0 0 0,-6 0 0 0 0,-21 205 0 0 0,7-244-50 0 0,-39 162 0 0 0,46-241-129 0 0,3-6 8 0 0,-1 0 1 0 0,0 0-1 0 0,0 1 1 0 0,0-1-1 0 0,0 0 1 0 0,0 0-1 0 0,-1 0 0 0 0,0 0 1 0 0,1 0-1 0 0,-1-1 1 0 0,-3 4-1 0 0,-6 1-7503 0 0</inkml:trace>
  <inkml:trace contextRef="#ctx0" brushRef="#br0" timeOffset="519.5">103 1020 19807 0 0,'-76'14'2230'0'0,"75"-14"-2166"0"0,0-1 0 0 0,0 1 0 0 0,0 0 0 0 0,0 0 0 0 0,1-1 0 0 0,-1 1 0 0 0,0-1 0 0 0,0 1 0 0 0,0-1 0 0 0,0 1 0 0 0,0-1 0 0 0,1 1 1 0 0,-1-1-1 0 0,0 0 0 0 0,1 1 0 0 0,-1-1 0 0 0,0 0 0 0 0,1 1 0 0 0,-1-1 0 0 0,1 0 0 0 0,-1 0 0 0 0,1 0 0 0 0,-1 0 0 0 0,1-1 0 0 0,-9-22 577 0 0,10 18-604 0 0,-1 0-1 0 0,1-1 1 0 0,-1 1-1 0 0,2 0 1 0 0,-1 0-1 0 0,1 0 1 0 0,0 0-1 0 0,0 1 1 0 0,0-1-1 0 0,1 0 1 0 0,0 1-1 0 0,4-7 1 0 0,8-9-55 0 0,25-29 1 0 0,-25 33-45 0 0,2 1 0 0 0,0 1 1 0 0,0 1-1 0 0,1 0 0 0 0,1 1 0 0 0,0 1 0 0 0,1 1 1 0 0,0 0-1 0 0,1 2 0 0 0,30-10 0 0 0,-42 16-34 0 0,0 0 0 0 0,0 1 0 0 0,0 0 1 0 0,13-1-1 0 0,-6 1-10 0 0,40-7-405 0 0,-12 6 171 0 0,24-4-8 0 0,1 5 104 0 0,-4 6 168 0 0,-57-3 74 0 0,0 1 0 0 0,-1-1-1 0 0,1 1 1 0 0,-1 0 0 0 0,0 1-1 0 0,14 7 1 0 0,-14-6 2 0 0,-1 0 0 0 0,0 1 0 0 0,0 0 0 0 0,0 0 0 0 0,7 9 0 0 0,-10-11 0 0 0,-1 0 0 0 0,0 0 0 0 0,0 0 0 0 0,0 1 0 0 0,-1-1-1 0 0,1 0 1 0 0,-1 1 0 0 0,0-1 0 0 0,0 1 0 0 0,0 0 0 0 0,0-1 0 0 0,-1 1 0 0 0,0 0 0 0 0,1 5-1 0 0,-2 1 14 0 0,0 1 0 0 0,0-1-1 0 0,-5 13 1 0 0,6-21-8 0 0,-9 28 84 0 0,-1 0 0 0 0,-1-1 1 0 0,-2 0-1 0 0,-1-1 0 0 0,-1 0 1 0 0,-2-1-1 0 0,0-1 1 0 0,-26 29-1 0 0,-11 6 30 0 0,-121 107 0 0 0,144-140 38 0 0,-2-2 0 0 0,-1-1 0 0 0,-1-1 0 0 0,-2-2 0 0 0,0-2 0 0 0,-56 23 0 0 0,85-40-99 0 0,1-1 1 0 0,-1 0-1 0 0,0 0 1 0 0,0-1-1 0 0,-15 1 1 0 0,20-2-58 0 0,-1 0 1 0 0,1-1 0 0 0,-1 1 0 0 0,1-1-1 0 0,-1 1 1 0 0,1-1 0 0 0,0 0 0 0 0,-1-1-1 0 0,1 1 1 0 0,0 0 0 0 0,0-1 0 0 0,0 0-1 0 0,0 0 1 0 0,0 0 0 0 0,-4-4-1 0 0,-5-7-246 0 0</inkml:trace>
  <inkml:trace contextRef="#ctx0" brushRef="#br0" timeOffset="1024.25">1647 1176 20271 0 0,'-26'8'604'0'0,"-35"10"314"0"0,0 3-1 0 0,-77 38 1 0 0,120-50-1458 0 0,0 2 0 0 0,0 0 0 0 0,2 1-1 0 0,-1 1 1 0 0,1 0 0 0 0,1 1 0 0 0,0 1 0 0 0,1 0-1 0 0,1 1 1 0 0,1 1 0 0 0,-15 24 0 0 0,20-28 199 0 0,0 0 1 0 0,1 0-1 0 0,0 1 0 0 0,-4 19 1 0 0,8-28 467 0 0,1-1 1 0 0,0 0 0 0 0,1 1-1 0 0,-1-1 1 0 0,1 1 0 0 0,0-1-1 0 0,0 0 1 0 0,0 1 0 0 0,1-1-1 0 0,0 1 1 0 0,-1-1 0 0 0,2 0-1 0 0,-1 1 1 0 0,0-1 0 0 0,1 0 0 0 0,0 0-1 0 0,0 0 1 0 0,3 5 0 0 0,-4-8 769 0 0,11 4-480 0 0,33 13-33 0 0,-33-14-136 0 0,1-5-65 0 0,43-3-14 0 0,-29 1-15 0 0,12-7-102 0 0,-1-1 1 0 0,68-29 0 0 0,-82 28-37 0 0,0 0 0 0 0,-1-2 0 0 0,-1 0 0 0 0,0-2 0 0 0,35-31 0 0 0,-43 33 9 0 0,0-1-1 0 0,-1 0 1 0 0,-1 0-1 0 0,-1-2 0 0 0,0 1 1 0 0,-1-1-1 0 0,0-1 1 0 0,13-36-1 0 0,-21 46-14 0 0,1 1 0 0 0,-2 0 0 0 0,1 0 0 0 0,-1-1 0 0 0,0 1 0 0 0,0-1 0 0 0,-1 1 0 0 0,0 0 0 0 0,-1-1-1 0 0,1 1 1 0 0,-1-1 0 0 0,-1 1 0 0 0,0 0 0 0 0,0-1 0 0 0,0 1 0 0 0,-1 0 0 0 0,1 0 0 0 0,-2 1 0 0 0,1-1 0 0 0,-1 1 0 0 0,0-1 0 0 0,-1 1-1 0 0,1 0 1 0 0,-1 1 0 0 0,0-1 0 0 0,-10-7 0 0 0,7 6 64 0 0,0 1-1 0 0,-1 0 1 0 0,0 0-1 0 0,0 1 0 0 0,0 0 1 0 0,-1 1-1 0 0,0 0 1 0 0,0 0-1 0 0,0 1 1 0 0,0 1-1 0 0,0-1 1 0 0,-1 2-1 0 0,1-1 1 0 0,-16 1-1 0 0,17 1-37 0 0,1 1-1 0 0,0 0 0 0 0,0 0 1 0 0,0 1-1 0 0,0 0 1 0 0,0 0-1 0 0,0 1 1 0 0,0 0-1 0 0,1 1 1 0 0,0-1-1 0 0,-1 2 1 0 0,1-1-1 0 0,1 1 1 0 0,-1 0-1 0 0,1 0 1 0 0,-1 0-1 0 0,2 1 1 0 0,-11 13-1 0 0,8-9-191 0 0,0 1 0 0 0,2 0-1 0 0,-10 18 1 0 0,6 0-5681 0 0,6-7-1205 0 0</inkml:trace>
  <inkml:trace contextRef="#ctx0" brushRef="#br0" timeOffset="2006.32">2430 935 18431 0 0,'0'0'64'0'0,"0"-1"0"0"0,0 1 0 0 0,1 0 0 0 0,-1-1 1 0 0,0 1-1 0 0,1 0 0 0 0,-1 0 0 0 0,0 0 0 0 0,1-1 0 0 0,-1 1 0 0 0,0 0 0 0 0,1 0 0 0 0,-1 0 0 0 0,1 0 0 0 0,-1 0 0 0 0,0 0 0 0 0,1 0 0 0 0,-1 0 0 0 0,1 0 1 0 0,-1 0-1 0 0,0 0 0 0 0,1 0 0 0 0,-1 0 0 0 0,1 0 0 0 0,-1 0 0 0 0,0 0 0 0 0,1 0 0 0 0,-1 0 0 0 0,1 1 0 0 0,-1-1 0 0 0,0 0 0 0 0,1 0 0 0 0,-1 0 0 0 0,0 1 0 0 0,1-1 1 0 0,-1 0-1 0 0,0 1 0 0 0,0-1 0 0 0,1 0 0 0 0,-1 0 0 0 0,0 1 0 0 0,0-1 0 0 0,1 0 0 0 0,-1 1 0 0 0,0-1 0 0 0,0 1 0 0 0,0-1 0 0 0,0 0 0 0 0,1 1 0 0 0,-1-1 1 0 0,0 1-1 0 0,0-1 0 0 0,0 0 0 0 0,0 1 0 0 0,0-1 0 0 0,0 1 0 0 0,0-1 0 0 0,4 27 627 0 0,-5-5-557 0 0,-1-1 0 0 0,-2 1 1 0 0,0-1-1 0 0,-1 0 0 0 0,-15 41 0 0 0,1-3-363 0 0,16-50 169 0 0,-1 4-89 0 0,0 1 0 0 0,1-1 0 0 0,0 0 0 0 0,1 1 0 0 0,1 0 0 0 0,0 19 0 0 0,1-32 119 0 0,0 0 1 0 0,0 0-1 0 0,0-1 0 0 0,0 1 1 0 0,0 0-1 0 0,0-1 0 0 0,0 1 1 0 0,1 0-1 0 0,-1 0 0 0 0,0-1 1 0 0,0 1-1 0 0,1 0 0 0 0,-1-1 1 0 0,0 1-1 0 0,1 0 0 0 0,-1-1 1 0 0,1 1-1 0 0,-1-1 0 0 0,1 1 1 0 0,-1 0-1 0 0,1-1 0 0 0,-1 1 0 0 0,1-1 1 0 0,1 1-1 0 0,-2-1-11 0 0,1 0 1 0 0,0 0-1 0 0,0 0 0 0 0,-1 0 0 0 0,1 0 1 0 0,0 0-1 0 0,0-1 0 0 0,-1 1 0 0 0,1 0 1 0 0,0-1-1 0 0,0 1 0 0 0,-1 0 1 0 0,1-1-1 0 0,0 1 0 0 0,-1-1 0 0 0,1 1 1 0 0,-1-1-1 0 0,2 0 0 0 0,22-30-649 0 0,0-11 842 0 0,-1-2 0 0 0,-3 0 1 0 0,21-68-1 0 0,-26 68 51 0 0,1 1 1 0 0,2 0-1 0 0,47-78 0 0 0,-60 114-205 0 0,0 0 0 0 0,0 1 0 0 0,1-1 0 0 0,0 1 0 0 0,0 0 1 0 0,10-7-1 0 0,-14 12 8 0 0,0-1 0 0 0,0 1 1 0 0,0 0-1 0 0,0 0 1 0 0,0 0-1 0 0,0 0 1 0 0,1 0-1 0 0,-1 1 0 0 0,0-1 1 0 0,0 0-1 0 0,1 1 1 0 0,-1 0-1 0 0,0 0 1 0 0,1-1-1 0 0,-1 1 0 0 0,0 1 1 0 0,1-1-1 0 0,-1 0 1 0 0,0 0-1 0 0,1 1 1 0 0,-1 0-1 0 0,0-1 0 0 0,0 1 1 0 0,0 0-1 0 0,1 0 1 0 0,2 2-1 0 0,-3-1 77 0 0,9 9 71 0 0,31 34 8 0 0,-32-33-9 0 0,-1 0-26 0 0,40 55-35 0 0,-42-57-82 0 0,-4-3 0 0 0,2-2-1 0 0,-1 1 0 0 0,1 0 1 0 0,-1-1-1 0 0,10 7 0 0 0,38 35 2 0 0,-43-40-11 0 0,0 0 0 0 0,1-1 0 0 0,0 0 0 0 0,20 7 0 0 0,-22-10 0 0 0,1 0 0 0 0,0-1 0 0 0,0 0 0 0 0,0 0 0 0 0,18 0 0 0 0,-19-2 4 0 0,-1-1 0 0 0,1 0-1 0 0,0 0 1 0 0,0-1 0 0 0,-1 0 0 0 0,1 0-1 0 0,-1-1 1 0 0,1 0 0 0 0,-1 0-1 0 0,0 0 1 0 0,0-1 0 0 0,-1 0 0 0 0,1-1-1 0 0,-1 1 1 0 0,0-1 0 0 0,0-1 0 0 0,0 1-1 0 0,-1-1 1 0 0,10-12 0 0 0,3-5 28 0 0,-1-1 1 0 0,-1-1-1 0 0,-2 0 1 0 0,0-1-1 0 0,18-49 0 0 0,-25 54-12 0 0,0-1 0 0 0,-2 0 0 0 0,0 0 0 0 0,-1-1 0 0 0,-2 1 0 0 0,0-1-1 0 0,-1 1 1 0 0,-3-24 0 0 0,0 37-20 0 0,1 7 0 0 0,1 1 0 0 0,-1-1 0 0 0,1 1 0 0 0,0-1 0 0 0,-1 0 0 0 0,1 1 0 0 0,0-1 0 0 0,0 0 0 0 0,0 1 0 0 0,0-1 0 0 0,0 1 0 0 0,0-1 0 0 0,1 0 0 0 0,-1-1 0 0 0,2 5 1 0 0,0-1 0 0 0,0 1 0 0 0,-1-1 0 0 0,1 1 0 0 0,-1 0 0 0 0,0 0 0 0 0,1 0 0 0 0,-1 0 0 0 0,1 3 0 0 0,-1-3 8 0 0,17 32 440 0 0,-14-26-417 0 0,0-1-1 0 0,0 0 0 0 0,1 0 1 0 0,0-1-1 0 0,6 7 0 0 0,-5-3 1 0 0,-2-5-10 0 0,-1 0-1 0 0,1 0 1 0 0,0 0 0 0 0,0 0 0 0 0,1-1-1 0 0,4 5 1 0 0,34 27 51 0 0,-32-29-69 0 0,-1 0 0 0 0,1 0-1 0 0,18 6 1 0 0,-16-8-4 0 0,-1-1 0 0 0,2 0 0 0 0,16 3 0 0 0,-12-5 0 0 0,0 0 0 0 0,20-1 0 0 0,-16-3 0 0 0,0 0 0 0 0,1-1 0 0 0,-2-1 0 0 0,1-1 0 0 0,0-1 0 0 0,-1-1 0 0 0,0 0 0 0 0,-1-2 0 0 0,0-1 0 0 0,0 0 0 0 0,-1-1 0 0 0,0-2 0 0 0,-1 0 0 0 0,0 0 0 0 0,-1-2 0 0 0,-1 0 0 0 0,-1-1 0 0 0,24-30 0 0 0,-36 41-3 0 0,1-1 0 0 0,-1 1 0 0 0,0-1 0 0 0,-1 0 0 0 0,1-1 0 0 0,-1 1 0 0 0,-1 0 0 0 0,1 0 0 0 0,-1-1 0 0 0,0 1 0 0 0,0-1 0 0 0,-1 1 0 0 0,0-1 0 0 0,0 1 0 0 0,-1-1 0 0 0,1 1 0 0 0,-1-1 0 0 0,-1 1 0 0 0,1-1 0 0 0,-1 1 0 0 0,-5-10 0 0 0,5 10-2 0 0,-1 1 0 0 0,1 0 0 0 0,-1 1-1 0 0,0-1 1 0 0,-1 1 0 0 0,1-1 0 0 0,-1 1 0 0 0,0 0 0 0 0,0 0 0 0 0,0 0 0 0 0,-1 1 0 0 0,1 0 0 0 0,-1 0 0 0 0,0 0-1 0 0,0 0 1 0 0,0 1 0 0 0,0-1 0 0 0,0 1 0 0 0,-1 1 0 0 0,1-1 0 0 0,-1 1 0 0 0,1 0 0 0 0,-1 0 0 0 0,1 0 0 0 0,-11 1-1 0 0,7 0-30 0 0,0 1-1 0 0,0 1 0 0 0,0-1 0 0 0,0 1 0 0 0,0 1 0 0 0,0 0 0 0 0,0 0 0 0 0,0 0 0 0 0,1 1 0 0 0,-12 8 0 0 0,9-5 38 0 0,1 1-1 0 0,-1 1 1 0 0,1 0 0 0 0,1 1 0 0 0,-1-1-1 0 0,-11 18 1 0 0,5-2 129 0 0,1 0-1 0 0,1 1 0 0 0,1 1 0 0 0,2 0 1 0 0,-16 54-1 0 0,21-62-97 0 0,2 0 0 0 0,0 0-1 0 0,1 0 1 0 0,1 0 0 0 0,1 1 0 0 0,1-1-1 0 0,0 0 1 0 0,1 1 0 0 0,6 27-1 0 0,6-10 36 0 0,13 15 0 0 0,3-8-42 0 0,-12-26 23 0 0,-17-18-48 0 0,12 10 4 0 0,1 0 0 0 0,20 12 0 0 0,-22-16-4 0 0,1-1 0 0 0,0 0 0 0 0,0-1 0 0 0,18 4 0 0 0,-17-5 3 0 0,-1-1-1 0 0,1-1 1 0 0,15 0 0 0 0,41-6 51 0 0,-41 1-28 0 0,-1-2-1 0 0,-1-2 1 0 0,1 0-1 0 0,-1-1 1 0 0,-1-2-1 0 0,1-1 1 0 0,29-19-1 0 0,165-120 57 0 0,-185 122-84 0 0,0 0 0 0 0,-3-3 1 0 0,54-65-1 0 0,-77 85 2 0 0,-2 1 0 0 0,1-1 0 0 0,-2 0 0 0 0,8-19 0 0 0,-11 24 0 0 0,-1 0 0 0 0,1 0 0 0 0,-2-1 0 0 0,1 1 0 0 0,-1-1 0 0 0,-1 0 0 0 0,1 1 0 0 0,-1-1 0 0 0,-1-12 0 0 0,1 20 0 0 0,0 0 0 0 0,0-1 0 0 0,0 1 0 0 0,0-1 0 0 0,0 1 0 0 0,0-1 0 0 0,0 1 0 0 0,0 0 0 0 0,0-1 0 0 0,0 1 0 0 0,0-1 0 0 0,0 1 0 0 0,0-1 0 0 0,-1 1 0 0 0,1 0 0 0 0,0-1 0 0 0,0 1 0 0 0,0-1 0 0 0,-1 1 0 0 0,1 0 0 0 0,0-1 0 0 0,0 1 0 0 0,-1 0 0 0 0,1-1 0 0 0,0 1 0 0 0,-1 0 0 0 0,1-1 0 0 0,0 1 0 0 0,-1 0 0 0 0,1 0 0 0 0,0-1 0 0 0,-1 1 0 0 0,1 0 0 0 0,-1 0 0 0 0,1 0 0 0 0,0 0 0 0 0,-1 0 0 0 0,1-1 0 0 0,-1 1 0 0 0,1 0 0 0 0,-1 0 0 0 0,1 0 0 0 0,0 0 0 0 0,-1 0 0 0 0,0 1 0 0 0,0-1 0 0 0,0 1 0 0 0,0 0 0 0 0,0-1 0 0 0,0 1 0 0 0,0 0 0 0 0,1 0 0 0 0,-1 0 0 0 0,0 0 0 0 0,0 0 0 0 0,1 0 0 0 0,-1 0 0 0 0,1 0 0 0 0,-1 0 0 0 0,1 0 0 0 0,-1 0 0 0 0,1 2 0 0 0,-7 21 0 0 0,2 1 0 0 0,1-1 0 0 0,1 1 0 0 0,1 0 0 0 0,2 0 0 0 0,0 0 0 0 0,1 0 0 0 0,8 40 0 0 0,-1-34 0 0 0,11 16 0 0 0,-16-40 3 0 0,1-1 0 0 0,-1 1 0 0 0,1-1 0 0 0,1 0 0 0 0,9 11-1 0 0,-8-12 13 0 0,-1 0 0 0 0,1 0-1 0 0,0-1 1 0 0,1 0 0 0 0,8 4-1 0 0,-14-7-8 0 0,-1-1-1 0 0,1 0 0 0 0,-1 0 0 0 0,1 0 0 0 0,0 0 0 0 0,-1 1 0 0 0,1-1 0 0 0,-1 0 0 0 0,1 0 0 0 0,0 0 0 0 0,-1 0 0 0 0,1 0 0 0 0,-1 0 0 0 0,1-1 0 0 0,-1 1 1 0 0,1 0-1 0 0,0 0 0 0 0,-1 0 0 0 0,1-1 0 0 0,-1 1 0 0 0,1 0 0 0 0,-1 0 0 0 0,1-1 0 0 0,-1 1 0 0 0,1 0 0 0 0,-1-1 0 0 0,1 1 0 0 0,-1-1 0 0 0,0 1 0 0 0,1-1 1 0 0,-1 1-1 0 0,0 0 0 0 0,1-1 0 0 0,-1 0 0 0 0,1 0 0 0 0,6-20 133 0 0,-6 17-84 0 0,21-73 953 0 0,38-115 190 0 0,-45 155-1143 0 0,1 0 1 0 0,1 1-1 0 0,23-35 0 0 0,-8 25-8 0 0,2 1 0 0 0,2 1 0 0 0,54-50 0 0 0,-21 31-1435 0 0,93-64 0 0 0,-116 94-7694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4T02:42:51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83 575 12439 0 0,'18'-5'2323'0'0,"208"-45"1490"0"0,-152 38-2798 0 0,118-37 1 0 0,-129 31-1297 0 0,-56 17-69 0 0</inkml:trace>
  <inkml:trace contextRef="#ctx0" brushRef="#br0" timeOffset="546.4">3 1057 18431 0 0,'-3'0'1376'0'0,"6"-4"-490"0"0,14-12-135 0 0,28-16-204 0 0,118-52-233 0 0,-95 51-6574 0 0,-43 20-642 0 0</inkml:trace>
  <inkml:trace contextRef="#ctx0" brushRef="#br0" timeOffset="2167.17">1832 1386 14279 0 0,'23'-48'3744'0'0,"-17"35"-4360"0"0,-1 0 0 0 0,-1-1 0 0 0,0 0 0 0 0,-1 1 0 0 0,-1-1 0 0 0,0 0 0 0 0,-1 0 0 0 0,0-16 0 0 0,-1 21 740 0 0,-1 0-1 0 0,1 1 1 0 0,-2-1-1 0 0,1 0 0 0 0,-1 0 1 0 0,0 0-1 0 0,-1 1 1 0 0,0-1-1 0 0,-1 1 1 0 0,1 0-1 0 0,-2 0 0 0 0,1 0 1 0 0,-10-12-1 0 0,11 16 2 0 0,-1 1 0 0 0,0-1-1 0 0,1 1 1 0 0,-2 0 0 0 0,1 0 0 0 0,0 0-1 0 0,0 0 1 0 0,-1 1 0 0 0,0-1-1 0 0,1 1 1 0 0,-1 0 0 0 0,0 1 0 0 0,0-1-1 0 0,-8 0 1 0 0,5 1-26 0 0,0 1-1 0 0,0-1 1 0 0,0 2-1 0 0,-1-1 1 0 0,1 1-1 0 0,0 1 1 0 0,0-1-1 0 0,-11 5 1 0 0,-1 2-50 0 0,1 0 1 0 0,0 2-1 0 0,0 0 1 0 0,1 1-1 0 0,0 0 1 0 0,-19 18-1 0 0,2 1 62 0 0,0 1 1 0 0,2 2-1 0 0,-42 54 0 0 0,63-71-58 0 0,0 1 1 0 0,1 1-1 0 0,1-1 1 0 0,1 2-1 0 0,0-1 0 0 0,2 1 1 0 0,0 1-1 0 0,1-1 0 0 0,1 1 1 0 0,-4 28-1 0 0,8-44 24 0 0,1 0-1 0 0,0 0 1 0 0,0-1 0 0 0,0 1-1 0 0,0 0 1 0 0,0 0-1 0 0,1 0 1 0 0,0 0 0 0 0,0-1-1 0 0,0 1 1 0 0,0 0-1 0 0,1-1 1 0 0,-1 1 0 0 0,1-1-1 0 0,0 1 1 0 0,0-1-1 0 0,0 0 1 0 0,0 0 0 0 0,1 0-1 0 0,3 4 1 0 0,-3-5-14 0 0,1 1 1 0 0,-1-1-1 0 0,1 0 1 0 0,-1 0-1 0 0,1-1 1 0 0,0 1-1 0 0,-1-1 1 0 0,1 0-1 0 0,0 0 1 0 0,0 0-1 0 0,0 0 1 0 0,0-1-1 0 0,0 0 1 0 0,0 0-1 0 0,0 0 1 0 0,0 0-1 0 0,0 0 1 0 0,0-1-1 0 0,6-1 1 0 0,7-3 20 0 0,-1 0 1 0 0,1-2-1 0 0,-1 1 0 0 0,-1-2 1 0 0,1 0-1 0 0,-1-1 0 0 0,18-15 1 0 0,-2 0-33 0 0,-1-2 1 0 0,30-33 0 0 0,-38 35-38 0 0,-1-1 0 0 0,-2-1-1 0 0,0-1 1 0 0,-1-1-1 0 0,-2 0 1 0 0,-1-1 0 0 0,-2-1-1 0 0,13-36 1 0 0,-24 58 25 0 0,0-1 1 0 0,-1 1-1 0 0,1-1 0 0 0,-2 1 1 0 0,1-13-1 0 0,-1 18-14 0 0,-1 1 1 0 0,1-1-1 0 0,0 1 1 0 0,-1-1-1 0 0,0 1 1 0 0,1-1-1 0 0,-1 1 0 0 0,0 0 1 0 0,0-1-1 0 0,-2-1 1 0 0,2 3-7 0 0,1 0-1 0 0,-1 0 1 0 0,0 0 0 0 0,0 0 0 0 0,0 0 0 0 0,0 0 0 0 0,0 0 0 0 0,0 1-1 0 0,0-1 1 0 0,0 0 0 0 0,0 1 0 0 0,-1-1 0 0 0,1 1 0 0 0,0-1-1 0 0,0 1 1 0 0,0 0 0 0 0,-1 0 0 0 0,1-1 0 0 0,0 1 0 0 0,-1 0 0 0 0,0 0-1 0 0,0 0-12 0 0,0 1-1 0 0,0-1 0 0 0,1 1 0 0 0,-1-1 0 0 0,0 1 0 0 0,1 0 0 0 0,-1-1 0 0 0,1 1 0 0 0,-1 0 0 0 0,1 0 0 0 0,-1 0 0 0 0,1 0 1 0 0,0 0-1 0 0,0 1 0 0 0,-1-1 0 0 0,1 0 0 0 0,0 1 0 0 0,0-1 0 0 0,0 0 0 0 0,0 1 0 0 0,0-1 0 0 0,1 1 0 0 0,-1 0 0 0 0,0-1 1 0 0,1 1-1 0 0,-1 0 0 0 0,0 1 0 0 0,-2 8-10 0 0,1-1 1 0 0,-3 22-1 0 0,5-30 7 0 0,-1 12-32 0 0,1 1 0 0 0,1-1 0 0 0,0 0 0 0 0,1 1 0 0 0,0-1 0 0 0,8 25-1 0 0,34 77-165 0 0,-35-94 159 0 0,78 220-90 0 0,-75-197 128 0 0,-2 0 0 0 0,-2 0 1 0 0,3 67-1 0 0,-11 137-7 0 0,-3-210 421 0 0,-2-1 0 0 0,-1 0 0 0 0,-2 0 0 0 0,-19 52 0 0 0,19-69-413 0 0,-1-1 0 0 0,-1 0-1 0 0,-1 0 1 0 0,-1-1 0 0 0,-1-1 0 0 0,0 0 0 0 0,-2-1 0 0 0,0 0 0 0 0,0-1 0 0 0,-2-1 0 0 0,0 0 0 0 0,0-1-1 0 0,-1-1 1 0 0,-1-1 0 0 0,0-1 0 0 0,-1 0 0 0 0,0-2 0 0 0,-1 0 0 0 0,0-1 0 0 0,0-1 0 0 0,-1-1 0 0 0,0-1-1 0 0,0-1 1 0 0,0-1 0 0 0,0-1 0 0 0,0 0 0 0 0,-1-2 0 0 0,-34-4 0 0 0,22-1-103 0 0,1-2 0 0 0,-1-1 1 0 0,2-1-1 0 0,-43-19 0 0 0,39 14-472 0 0</inkml:trace>
  <inkml:trace contextRef="#ctx0" brushRef="#br0" timeOffset="2698.2">3120 886 17047 0 0,'-5'2'342'0'0,"1"0"0"0"0,0-1 0 0 0,0 2 0 0 0,0-1 0 0 0,0 0 0 0 0,0 1 0 0 0,0-1 0 0 0,-5 7 0 0 0,-28 29 332 0 0,28-27-531 0 0,-174 220-835 0 0,48-56-845 0 0,94-121 1511 0 0,26-33-142 0 0,-2 0-1 0 0,-30 31 1 0 0,40-46-439 0 0</inkml:trace>
  <inkml:trace contextRef="#ctx0" brushRef="#br0" timeOffset="3181.37">2581 1027 4607 0 0,'-7'9'-929'0'0,"4"-2"3379"0"0,11 6 7773 0 0,-3-7-5285 0 0,3 3-4464 0 0,0 2-371 0 0,30 30 293 0 0,10 6-302 0 0,-5-9-95 0 0,1-1-66 0 0,-35-30-39 0 0,4 3-13 0 0,40 29-8 0 0,-39-30-28 0 0,-2 0-19 0 0,62 42-148 0 0,-20-15 292 0 0,4 5-108 0 0,-9-9-574 0 0,-40-26-214 0 0</inkml:trace>
  <inkml:trace contextRef="#ctx0" brushRef="#br0" timeOffset="5084.15">3865 1211 15663 0 0,'0'1'55'0'0,"0"-1"-1"0"0,0 1 1 0 0,0-1-1 0 0,0 0 1 0 0,0 1-1 0 0,0-1 1 0 0,0 0-1 0 0,0 1 1 0 0,0-1-1 0 0,1 0 0 0 0,-1 1 1 0 0,0-1-1 0 0,0 0 1 0 0,0 1-1 0 0,1-1 1 0 0,-1 0-1 0 0,0 0 1 0 0,1 1-1 0 0,-1-1 1 0 0,0 0-1 0 0,0 0 1 0 0,1 1-1 0 0,-1-1 1 0 0,0 0-1 0 0,1 0 1 0 0,-1 0-1 0 0,0 0 1 0 0,1 1-1 0 0,-1-1 0 0 0,1 0 1 0 0,-1 0-1 0 0,0 0 1 0 0,1 0-1 0 0,-1 0 1 0 0,0 0-1 0 0,1 0 1 0 0,-1 0-1 0 0,1 0 1 0 0,-1 0-1 0 0,0 0 1 0 0,1-1-1 0 0,34 0 1572 0 0,12-7-1100 0 0,-42 8-462 0 0,0-1-1 0 0,0 1 1 0 0,1-2 0 0 0,-1 1-1 0 0,0 0 1 0 0,0-1-1 0 0,0 0 1 0 0,6-4 0 0 0,2 0-29 0 0,12-6-55 0 0,-1 0-1 0 0,0-1 0 0 0,-1-2 1 0 0,41-33-1 0 0,68-80-564 0 0,-109 104 471 0 0,0-1 0 0 0,-2-1-1 0 0,-1-1 1 0 0,-1-1 0 0 0,-1-1-1 0 0,21-48 1 0 0,-38 73 53 0 0,1 1-1 0 0,-1-1 1 0 0,0 0-1 0 0,0 1 0 0 0,0-1 1 0 0,0 0-1 0 0,-1 0 1 0 0,0 0-1 0 0,0 0 1 0 0,0 0-1 0 0,0 0 1 0 0,0 0-1 0 0,-2-5 0 0 0,1 7 17 0 0,1 0-1 0 0,-1 1 0 0 0,0-1 1 0 0,0 0-1 0 0,0 1 0 0 0,-1-1 1 0 0,1 1-1 0 0,0-1 0 0 0,-1 1 0 0 0,1-1 1 0 0,0 1-1 0 0,-1 0 0 0 0,0 0 1 0 0,1 0-1 0 0,-1 0 0 0 0,0 0 1 0 0,1 0-1 0 0,-1 0 0 0 0,0 0 0 0 0,0 1 1 0 0,0-1-1 0 0,0 1 0 0 0,0-1 1 0 0,0 1-1 0 0,0 0 0 0 0,0 0 1 0 0,-3 0-1 0 0,-4 0-14 0 0,0 1-1 0 0,0 0 1 0 0,0 1-1 0 0,0-1 1 0 0,0 2 0 0 0,1-1-1 0 0,-1 1 1 0 0,1 1-1 0 0,0-1 1 0 0,0 1 0 0 0,-8 6-1 0 0,-7 5 61 0 0,2 0 1 0 0,-29 27-1 0 0,26-19 273 0 0,1 0 0 0 0,1 2 0 0 0,1 1 0 0 0,1 0 0 0 0,1 2 0 0 0,1 0 0 0 0,2 1 0 0 0,1 0 0 0 0,2 1 0 0 0,0 1 0 0 0,2 0 0 0 0,2 1 0 0 0,0 0 0 0 0,-5 46 0 0 0,14-65-211 0 0,-1 0 0 0 0,2 0 0 0 0,0 0 1 0 0,0 0-1 0 0,1-1 0 0 0,1 1 1 0 0,0 0-1 0 0,1-1 0 0 0,0 0 1 0 0,0 0-1 0 0,2 0 0 0 0,0 0 1 0 0,0-1-1 0 0,12 17 0 0 0,-13-22 101 0 0,4 3-10 0 0,27 26-1 0 0,-27-26-10 0 0,2-2-47 0 0,34 22-20 0 0,-34-22-3 0 0,3-2-12 0 0,54 18-48 0 0,-54-20-12 0 0,0-1 0 0 0,1 0 0 0 0,21 0 0 0 0,13-8-12 0 0,-33 1-1026 0 0,16-13-4122 0 0,-8 2-1758 0 0</inkml:trace>
  <inkml:trace contextRef="#ctx0" brushRef="#br0" timeOffset="5502.94">5311 1 17967 0 0,'-6'0'464'0'0,"1"0"0"0"0,-1 1 0 0 0,0 0 0 0 0,1 1 0 0 0,-1-1 0 0 0,1 1 0 0 0,-1 0 0 0 0,-7 4 0 0 0,-39 26-1955 0 0,25-15-850 0 0,-31 22-6347 0 0,39-25 9220 0 0,2 0 0 0 0,-23 25 0 0 0,27-25 1315 0 0,2 1 0 0 0,0 0 1 0 0,-14 24-1 0 0,17-22-1042 0 0,-13 31 0 0 0,12-18-585 0 0,2 1 0 0 0,0 0 1 0 0,2 1-1 0 0,2-1 0 0 0,0 1 0 0 0,3 0 1 0 0,5 63-1 0 0,8-5-217 0 0,36 132 0 0 0,33 33 206 0 0,-48-158-205 0 0,4 29-4 0 0,-35-117-227 0 0,-2-4-514 0 0,0 1 1 0 0,1-1 0 0 0,0 0 0 0 0,0 0 0 0 0,1 0-1 0 0,-1 0 1 0 0,5 6 0 0 0</inkml:trace>
  <inkml:trace contextRef="#ctx0" brushRef="#br0" timeOffset="5973.89">4914 1036 20271 0 0,'-1'0'73'0'0,"1"0"0"0"0,0 1 0 0 0,-1-1 0 0 0,1 1-1 0 0,0-1 1 0 0,-1 1 0 0 0,1-1 0 0 0,0 1 0 0 0,0-1 0 0 0,0 1-1 0 0,0-1 1 0 0,-1 1 0 0 0,1-1 0 0 0,0 1 0 0 0,0-1-1 0 0,0 1 1 0 0,0-1 0 0 0,0 1 0 0 0,0-1 0 0 0,0 1 0 0 0,0-1-1 0 0,1 1 1 0 0,-1-1 0 0 0,0 1 0 0 0,0-1 0 0 0,0 1 0 0 0,0-1-1 0 0,1 1 1 0 0,-1-1 0 0 0,0 1 0 0 0,1-1 0 0 0,-1 1 0 0 0,1-1-1 0 0,0 1-41 0 0,0 0 0 0 0,1 0-1 0 0,-1 0 1 0 0,0 0-1 0 0,1-1 1 0 0,-1 1 0 0 0,1 0-1 0 0,-1-1 1 0 0,1 0-1 0 0,0 1 1 0 0,-1-1 0 0 0,1 0-1 0 0,0 0 1 0 0,-1 0-1 0 0,1 0 1 0 0,-1 0-1 0 0,1 0 1 0 0,0 0 0 0 0,-1 0-1 0 0,3-1 1 0 0,51-8-21 0 0,-46 7-110 0 0,1-1-1 0 0,-1 0 1 0 0,1-1 0 0 0,-1 0-1 0 0,0 0 1 0 0,-1-1-1 0 0,1 0 1 0 0,10-9-1 0 0,2 0-348 0 0,27-17-1331 0 0,-24 15 328 0 0</inkml:trace>
  <inkml:trace contextRef="#ctx0" brushRef="#br0" timeOffset="6398.3">5911 400 17967 0 0,'-1'-1'114'0'0,"-1"0"-1"0"0,1 0 1 0 0,0 0 0 0 0,0-1-1 0 0,0 1 1 0 0,0 0 0 0 0,0 0-1 0 0,0-1 1 0 0,0 1-1 0 0,0 0 1 0 0,0-1 0 0 0,1 1-1 0 0,-1-1 1 0 0,0 1 0 0 0,1-1-1 0 0,0 1 1 0 0,-1-1-1 0 0,1 1 1 0 0,0-1 0 0 0,0 0-1 0 0,0-2 1 0 0,2-43 704 0 0,0 22-592 0 0,-2 9-287 0 0,-1-1-1 0 0,-7-31 0 0 0,4 30-1055 0 0,-1 0-1 0 0,-1 1 0 0 0,-1 0 0 0 0,0 0 0 0 0,-1 0 0 0 0,-1 1 1 0 0,0 1-1 0 0,-20-25 0 0 0,28 37 1180 0 0,-1 1 1 0 0,0 0-1 0 0,0 1 1 0 0,0-1-1 0 0,1 0 1 0 0,-2 1-1 0 0,1-1 1 0 0,0 1-1 0 0,0-1 1 0 0,0 1-1 0 0,-1 0 1 0 0,1 0-1 0 0,0 0 1 0 0,-1 0-1 0 0,1 0 1 0 0,-1 1-1 0 0,1-1 1 0 0,-1 1-1 0 0,-3 0 1 0 0,3 0 132 0 0,-1 0 0 0 0,1 1 0 0 0,0 0 0 0 0,-1 0 0 0 0,1 0 0 0 0,0 0 0 0 0,0 1 0 0 0,0-1 0 0 0,0 1 0 0 0,0-1 0 0 0,0 1 0 0 0,-5 4 0 0 0,-2 4 341 0 0,0 0 1 0 0,1 1-1 0 0,0 0 0 0 0,1 0 0 0 0,-13 22 1 0 0,10-11-302 0 0,1 0 0 0 0,1 1 0 0 0,1 0 1 0 0,1 0-1 0 0,1 1 0 0 0,1-1 0 0 0,2 1 1 0 0,0 1-1 0 0,1-1 0 0 0,3 47 1 0 0,5 6-59 0 0,5 0 1 0 0,20 81 0 0 0,-17-93 122 0 0,3-1 0 0 0,2 0 0 0 0,4-1 1 0 0,2-2-1 0 0,44 78 0 0 0,-43-93-233 0 0,5 7-54 0 0,-5-5-13 0 0,-6-6-19 0 0,-16-33 11 0 0,-1-5-50 0 0,-1 1 1 0 0,0 0-1 0 0,1 0 0 0 0,-2 1 1 0 0,1-1-1 0 0,-1 0 1 0 0,0 1-1 0 0,0-1 1 0 0,0 1-1 0 0,-1-1 0 0 0,1 1 1 0 0,-2 8-1 0 0,1-13-31 0 0,-1 0 0 0 0,1 0 0 0 0,-1 0 0 0 0,1 0 0 0 0,-1 0 0 0 0,1 0 0 0 0,-1 0 0 0 0,1 0 1 0 0,-1-1-1 0 0,0 1 0 0 0,1 0 0 0 0,-1 0 0 0 0,0-1 0 0 0,0 1 0 0 0,1 0 0 0 0,-1-1 0 0 0,0 1 0 0 0,0-1 0 0 0,0 1 0 0 0,0-1 0 0 0,0 0 0 0 0,0 1 0 0 0,0-1 0 0 0,0 0 0 0 0,0 0 0 0 0,0 1 0 0 0,0-1 0 0 0,0 0 0 0 0,0 0 0 0 0,0 0 0 0 0,0 0 0 0 0,0 0 0 0 0,0-1 0 0 0,0 1 0 0 0,-1 0 1 0 0</inkml:trace>
  <inkml:trace contextRef="#ctx0" brushRef="#br0" timeOffset="6851.84">5704 1098 18887 0 0,'-1'5'1680'0'0,"4"-4"-1344"0"0,2 2-272 0 0,1-3-64 0 0,2 1 448 0 0,-1-2 80 0 0,5-2 872 0 0,78-19-1136 0 0,-40 8-8 0 0,2-4 0 0 0,0-2-256 0 0,-6-1 0 0 0,-2 0 0 0 0,-3 2-6424 0 0,-4-1-1296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4T02:42:58.6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438 1417 9215 0 0,'-12'3'1053'0'0,"-1"1"0"0"0,1 1 0 0 0,0 0-1 0 0,0 1 1 0 0,0 0 0 0 0,-12 9 0 0 0,8-3-86 0 0,0 0 0 0 0,1 2 0 0 0,-19 20 0 0 0,-2 11-146 0 0,-57 91 0 0 0,59-83-882 0 0,9-12 107 0 0,2 2-1 0 0,-25 66 1 0 0,49-117-2079 0 0,0-2 470 0 0</inkml:trace>
  <inkml:trace contextRef="#ctx0" brushRef="#br0" timeOffset="466.04">84 1290 16127 0 0,'-1'1'123'0'0,"0"-1"-1"0"0,0 1 0 0 0,0 0 0 0 0,0 0 1 0 0,0 1-1 0 0,1-1 0 0 0,-1 0 1 0 0,0 0-1 0 0,1 0 0 0 0,-1 0 1 0 0,1 1-1 0 0,-1-1 0 0 0,1 0 0 0 0,-1 1 1 0 0,1-1-1 0 0,0 0 0 0 0,0 1 1 0 0,0-1-1 0 0,0 0 0 0 0,0 1 0 0 0,0 2 1 0 0,1-1 198 0 0,1 1 0 0 0,-1 0 0 0 0,1 0 0 0 0,0 0 0 0 0,0-1 0 0 0,2 4-1 0 0,-1-2-86 0 0,32 45 578 0 0,-24-36-664 0 0,20 20-119 0 0,-20-22-22 0 0,25 24 39 0 0,2-2-35 0 0,11 7-11 0 0,4-4 0 0 0,2-1 0 0 0,5-2 0 0 0,13 2 0 0 0,-15-11-60 0 0,-47-20-249 0 0,4-1-100 0 0,42 10-1366 0 0,-42-11-5384 0 0</inkml:trace>
  <inkml:trace contextRef="#ctx0" brushRef="#br0" timeOffset="1426.45">2158 383 15663 0 0,'-15'-5'443'0'0,"-1"1"-1"0"0,0 0 0 0 0,0 2 1 0 0,0 0-1 0 0,-1 0 0 0 0,1 2 1 0 0,0 0-1 0 0,-1 0 0 0 0,-17 4 1 0 0,12 1-389 0 0,1 0 0 0 0,-1 1-1 0 0,1 1 1 0 0,1 1 0 0 0,-1 1 0 0 0,-18 11 0 0 0,-5 8-604 0 0,1 2 0 0 0,2 1 0 0 0,1 3 0 0 0,-70 75 0 0 0,82-77 689 0 0,1 1-1 0 0,1 2 1 0 0,2 0 0 0 0,2 2-1 0 0,1 0 1 0 0,-21 55 0 0 0,28-56 158 0 0,2 0 1 0 0,1 1 0 0 0,2 0-1 0 0,1 1 1 0 0,3 0 0 0 0,1 0-1 0 0,0 51 1 0 0,6-61-171 0 0,1 0-1 0 0,2 0 1 0 0,0-1 0 0 0,15 44-1 0 0,-10-51-58 0 0,18 32-4 0 0,-13-29-10 0 0,21 19-33 0 0,-35-39-16 0 0,1-1 1 0 0,0 0-1 0 0,0 0 0 0 0,0 0 1 0 0,0 0-1 0 0,1 0 0 0 0,2 1 1 0 0,39 27 15 0 0,-20-17 22 0 0,43 11-33 0 0,-48-18-10 0 0,1-2 0 0 0,25 4 0 0 0,-23-7 8 0 0,1-1 0 0 0,-1-1-1 0 0,1-1 1 0 0,-1 0 0 0 0,0-2 0 0 0,0-1-1 0 0,0-1 1 0 0,-1 0 0 0 0,0-2-1 0 0,30-14 1 0 0,-11 1 13 0 0,-1-1-1 0 0,-1-2 1 0 0,-1-2 0 0 0,42-37-1 0 0,-58 44-10 0 0,-1-1-1 0 0,0 0 1 0 0,-1-2-1 0 0,-1 0 1 0 0,-2-1-1 0 0,0-1 1 0 0,13-27-1 0 0,-21 34 22 0 0,-1 1 0 0 0,0-2-1 0 0,-1 1 1 0 0,-1-1 0 0 0,-1 0-1 0 0,-1 0 1 0 0,0 0 0 0 0,-1-1-1 0 0,-1 1 1 0 0,-1-1-1 0 0,-4-35 1 0 0,0 26 44 0 0,-2 1 1 0 0,-1 0-1 0 0,0 0 0 0 0,-2 0 1 0 0,-2 1-1 0 0,-24-47 0 0 0,26 59-41 0 0,0 0-1 0 0,0 0 1 0 0,-2 1-1 0 0,0 1 1 0 0,0 0-1 0 0,-1 0 1 0 0,0 1-1 0 0,-1 1 1 0 0,0 0-1 0 0,-1 0 1 0 0,0 2-1 0 0,-30-15 1 0 0,18 13 60 0 0,0 1-1 0 0,-1 0 1 0 0,0 2 0 0 0,0 1 0 0 0,0 2 0 0 0,-1 0-1 0 0,-36 1 1 0 0,44 4-157 0 0,0 0 0 0 0,1 2 1 0 0,-1 0-1 0 0,1 1 0 0 0,-1 1 0 0 0,1 0 0 0 0,1 2 0 0 0,-1 0 0 0 0,1 2 1 0 0,1 0-1 0 0,-18 11 0 0 0,10-3-1780 0 0,2-2-6001 0 0</inkml:trace>
  <inkml:trace contextRef="#ctx0" brushRef="#br0" timeOffset="1936.49">1794 1392 19351 0 0,'1'1'253'0'0,"11"16"1322"0"0,18-1-630 0 0,-20-11-534 0 0,79 36 176 0 0,-5 1-222 0 0,-17-8-218 0 0,5 9-118 0 0,-13 2-29 0 0,-45-33-2 0 0,-6-5-11 0 0,0 0 0 0 0,-1 1 0 0 0,11 14 1 0 0,-9-13 1 0 0,-4-3-14 0 0,1 0 0 0 0,-1 0-1 0 0,-1 1 1 0 0,5 6-1 0 0,19 31-207 0 0,-7-4 26 0 0,-16-29 165 0 0,23 44-178 0 0,-12-26 129 0 0,-12-23-61 0 0,7-2-6320 0 0,44 16-432 0 0</inkml:trace>
  <inkml:trace contextRef="#ctx0" brushRef="#br0" timeOffset="2451.61">3938 807 17967 0 0,'-41'9'1483'0'0,"-75"26"0"0"0,63-13-1727 0 0,1 1-1 0 0,-65 41 1 0 0,23-2-880 0 0,-141 121-1 0 0,223-174 1343 0 0,-18 17 993 0 0,-42 45-1 0 0,64-63-1067 0 0,1 0 0 0 0,1 1-1 0 0,0 0 1 0 0,0 0 0 0 0,1 1-1 0 0,0-1 1 0 0,0 1-1 0 0,1 0 1 0 0,0 1 0 0 0,-3 17-1 0 0,6-25-142 0 0,1-1 1 0 0,0 0-1 0 0,-1 1 0 0 0,1-1 1 0 0,0 0-1 0 0,1 1 0 0 0,-1-1 0 0 0,0 1 1 0 0,1-1-1 0 0,-1 0 0 0 0,1 1 1 0 0,0-1-1 0 0,0 0 0 0 0,0 0 0 0 0,0 0 1 0 0,0 0-1 0 0,0 1 0 0 0,3 1 0 0 0,-3-3-59 0 0,9-1-1900 0 0,34-1-2989 0 0,-43 1 4445 0 0,1 0-1 0 0,-1 0 1 0 0,0 0 0 0 0,1 0 0 0 0,-1-1-1 0 0,0 1 1 0 0,1-1 0 0 0,-1 1-1 0 0,0-1 1 0 0,0 1 0 0 0,1-1 0 0 0,0-1-1 0 0</inkml:trace>
  <inkml:trace contextRef="#ctx0" brushRef="#br0" timeOffset="3091.46">3119 762 20735 0 0,'0'1'61'0'0,"-1"-1"0"0"0,0 0 0 0 0,1 1 0 0 0,-1-1 0 0 0,1 0 0 0 0,-1 1 0 0 0,1-1 0 0 0,-1 1 0 0 0,1-1 0 0 0,-1 1 0 0 0,1-1 0 0 0,-1 1 0 0 0,1 0 0 0 0,0-1 0 0 0,-1 1 0 0 0,1-1 0 0 0,0 1 0 0 0,-1 0 0 0 0,1-1 0 0 0,0 1 0 0 0,0 0-1 0 0,0-1 1 0 0,0 1 0 0 0,0 0 0 0 0,0-1 0 0 0,0 1 0 0 0,0 0 0 0 0,0-1 0 0 0,0 1 0 0 0,0 0 0 0 0,0-1 0 0 0,0 1 0 0 0,0 0 0 0 0,1-1 0 0 0,-1 1 0 0 0,0 0 0 0 0,0-1 0 0 0,1 1 0 0 0,-1-1 0 0 0,0 1 0 0 0,1 0 0 0 0,-1-1 0 0 0,1 1 0 0 0,4 7 240 0 0,-5-7-49 0 0,6 9 17 0 0,16 28 10 0 0,-9-21 1 0 0,-5-7-193 0 0,-5-4-51 0 0,2-1 0 0 0,-1 0 0 0 0,0-1 1 0 0,1 1-1 0 0,0-1 0 0 0,6 4 0 0 0,35 30-12 0 0,10 9 24 0 0,-4-1-51 0 0,-3 3-73 0 0,7 7-78 0 0,-26-26 126 0 0,-23-23-52 0 0,3 3 20 0 0,26 28 32 0 0,-27-29-52 0 0,-1 0 2 0 0,26 23-12 0 0,-26-24-13 0 0,3-9-7242 0 0,42-5-6 0 0</inkml:trace>
  <inkml:trace contextRef="#ctx0" brushRef="#br0" timeOffset="3617.73">4461 1 18887 0 0,'-7'1'588'0'0,"6"-1"-513"0"0,0 0 1 0 0,0 0 0 0 0,0 0 0 0 0,0 0 0 0 0,0 0 0 0 0,0 1 0 0 0,0-1-1 0 0,0 0 1 0 0,0 0 0 0 0,1 1 0 0 0,-1-1 0 0 0,0 0 0 0 0,0 1 0 0 0,0-1-1 0 0,0 1 1 0 0,0 0 0 0 0,0-1 0 0 0,1 1 0 0 0,-1-1 0 0 0,0 1 0 0 0,1 0 0 0 0,-1 0-1 0 0,0-1 1 0 0,1 1 0 0 0,-1 0 0 0 0,1 0 0 0 0,-1 0 0 0 0,1 0 0 0 0,-1 0-1 0 0,1 0 1 0 0,0 0 0 0 0,0 0 0 0 0,-1-1 0 0 0,1 1 0 0 0,0 0 0 0 0,0 0-1 0 0,0 0 1 0 0,0 0 0 0 0,0 0 0 0 0,0 0 0 0 0,0 0 0 0 0,0 0 0 0 0,1 2-1 0 0,-2 644 125 0 0,-2-466-277 0 0,2 300 286 0 0,14-274 1400 0 0,-8-134-888 0 0,-5-71-715 0 0,0 1 0 0 0,1-1-1 0 0,-1 0 1 0 0,0 0 0 0 0,1 0 0 0 0,-1 1 0 0 0,1-1 0 0 0,0 0 0 0 0,1 3-1 0 0,-2-5-4 0 0,1 0-1 0 0,-1 0 1 0 0,0 0-1 0 0,0 1 1 0 0,0-1-1 0 0,0 0 0 0 0,0 0 1 0 0,0 0-1 0 0,0 0 1 0 0,1 0-1 0 0,-1 0 1 0 0,0 0-1 0 0,0 0 0 0 0,0 0 1 0 0,0 0-1 0 0,0 0 1 0 0,1 0-1 0 0,-1 0 1 0 0,0 0-1 0 0,0 0 0 0 0,0 0 1 0 0,0 0-1 0 0,0 0 1 0 0,1 0-1 0 0,-1 0 1 0 0,0 0-1 0 0,0 0 0 0 0,0 0 1 0 0,0 0-1 0 0,0 0 1 0 0,0 0-1 0 0,1 0 1 0 0,-1 0-1 0 0,0 0 0 0 0,0 0 1 0 0,0 0-1 0 0,0-1 1 0 0,0 1-1 0 0,0 0 1 0 0,0 0-1 0 0,1 0 1 0 0,-1 0-1 0 0,0 0 0 0 0,0 0 1 0 0,6-15 6 0 0,0-4-7 0 0,16-53 0 0 0,3 1 0 0 0,36-71 0 0 0,-50 120 0 0 0,1 2 0 0 0,1-1 0 0 0,0 2 0 0 0,2 0 0 0 0,0 0 0 0 0,1 2 0 0 0,1 0 0 0 0,0 1 0 0 0,1 0 0 0 0,36-22 0 0 0,-47 32 0 0 0,36-16 0 0 0,1 5 0 0 0,5 3 0 0 0,10 8 0 0 0,-50 6 0 0 0,0 0 0 0 0,0 1 0 0 0,0 0 0 0 0,18 5 0 0 0,-15-2 0 0 0,-1 0 0 0 0,0 1 0 0 0,0 0 0 0 0,11 7 0 0 0,-15-7 6 0 0,0 0-1 0 0,-1 0 1 0 0,0 0-1 0 0,0 1 1 0 0,0-1-1 0 0,6 9 1 0 0,21 36 186 0 0,-23-29 33 0 0,-5 4-78 0 0,0 0-1 0 0,-1 0 1 0 0,-1 1 0 0 0,-2 0-1 0 0,-2 36 1 0 0,-3-23-115 0 0,-3 1 0 0 0,-1-1 0 0 0,-1 0 0 0 0,-3 0 0 0 0,-1-1 0 0 0,-2-1 0 0 0,-1 0 0 0 0,-2-1 0 0 0,-27 40 0 0 0,36-65-313 0 0,4-8-73 0 0,3-6-570 0 0,2-6 123 0 0</inkml:trace>
  <inkml:trace contextRef="#ctx0" brushRef="#br0" timeOffset="4072.46">5566 1763 17047 0 0,'0'0'147'0'0,"-1"0"1"0"0,1 1-1 0 0,-1-1 0 0 0,1 0 0 0 0,-1 1 0 0 0,1-1 0 0 0,0 1 0 0 0,-1-1 1 0 0,1 0-1 0 0,0 1 0 0 0,0-1 0 0 0,-1 1 0 0 0,1-1 0 0 0,0 1 1 0 0,0-1-1 0 0,0 1 0 0 0,0 0 0 0 0,-1-1 0 0 0,1 1 0 0 0,0-1 1 0 0,0 1-1 0 0,0-1 0 0 0,0 1 0 0 0,0-1 0 0 0,0 1 0 0 0,0-1 0 0 0,1 2 1 0 0,0 26 281 0 0,0-10-414 0 0,-4 19-584 0 0,-2 1 0 0 0,-2-1 0 0 0,-1-1 0 0 0,-13 37 0 0 0,16-61 701 0 0,4-9 207 0 0,-1 0 0 0 0,1 0 0 0 0,0 1 0 0 0,0-1 0 0 0,0 1 0 0 0,0 5 1 0 0,19-48 1122 0 0,10-28-1266 0 0,45-98-232 0 0,-60 140-31 0 0,1 1 0 0 0,1 1-1 0 0,1 1 1 0 0,30-33 0 0 0,-33 41-3 0 0,0 1 1 0 0,24-17-1 0 0,1 6-176 0 0,-30 21 168 0 0,-2 0-165 0 0,3 0-1397 0 0,40-16-5600 0 0</inkml:trace>
  <inkml:trace contextRef="#ctx0" brushRef="#br0" timeOffset="4573.15">6113 1665 16127 0 0,'-24'3'1483'0'0,"1"1"-1"0"0,-23 8 1 0 0,28-7-2080 0 0,0 2 0 0 0,1 0-1 0 0,0 0 1 0 0,0 2 0 0 0,-26 17 0 0 0,34-19 243 0 0,0 0 1 0 0,0 1 0 0 0,1 0-1 0 0,0 0 1 0 0,0 1 0 0 0,1 0 0 0 0,0 0-1 0 0,1 0 1 0 0,0 1 0 0 0,-6 12 0 0 0,8-13 841 0 0,1 1 1 0 0,0 0 0 0 0,0 0-1 0 0,1 0 1 0 0,0 0 0 0 0,1 0 0 0 0,-1 17-1 0 0,2-26-453 0 0,0 9 230 0 0,0 1 0 0 0,0-1 0 0 0,1 0 0 0 0,0 0 0 0 0,1 0 0 0 0,0 0 0 0 0,1 0 0 0 0,0-1 0 0 0,0 1 0 0 0,8 13 0 0 0,8 13-236 0 0,-14-28 3 0 0,6-5-64 0 0,31 10 8 0 0,-41-13 22 0 0,-1 0 0 0 0,1 0 1 0 0,-1 1-1 0 0,0-1 0 0 0,1 0 0 0 0,-1 0 0 0 0,1 1 1 0 0,-1-1-1 0 0,1 0 0 0 0,-1 0 0 0 0,1 0 1 0 0,-1 0-1 0 0,1 0 0 0 0,-1 0 0 0 0,1 0 0 0 0,-1 0 1 0 0,0 0-1 0 0,1 0 0 0 0,-1 0 0 0 0,1 0 1 0 0,-1 0-1 0 0,1 0 0 0 0,-1 0 0 0 0,1-1 0 0 0,-1 1 1 0 0,1 0-1 0 0,-1 0 0 0 0,0 0 0 0 0,1-1 1 0 0,7-7 56 0 0,0 0 0 0 0,-1-1 0 0 0,0 0 0 0 0,-1 0 0 0 0,0-1 1 0 0,0 1-1 0 0,8-20 0 0 0,26-84 491 0 0,-29 81-540 0 0,18-63 122 0 0,21-59-453 0 0,-49 153 326 0 0,-1 0 1 0 0,0 0 0 0 0,0 0 0 0 0,1 0 0 0 0,-1 0 0 0 0,0 0-1 0 0,1 0 1 0 0,-1 0 0 0 0,1 0 0 0 0,-1 1 0 0 0,1-1 0 0 0,-1 0-1 0 0,1 0 1 0 0,0 1 0 0 0,-1-1 0 0 0,1 0 0 0 0,0 1 0 0 0,0-1 0 0 0,0 0-1 0 0,1 0 1 0 0,-2 1 17 0 0,1 1-1 0 0,0-1 1 0 0,-1 1-1 0 0,1-1 1 0 0,-1 1-1 0 0,1-1 1 0 0,-1 1-1 0 0,0 0 1 0 0,1-1-1 0 0,-1 1 0 0 0,0-1 1 0 0,1 1-1 0 0,-1 0 1 0 0,0-1-1 0 0,0 1 1 0 0,1 0-1 0 0,-1-1 1 0 0,0 1-1 0 0,0 0 1 0 0,0 1-1 0 0,4 48 684 0 0,-4-48-704 0 0,-8 282 194 0 0,-1-64-544 0 0,9-217-664 0 0</inkml:trace>
  <inkml:trace contextRef="#ctx0" brushRef="#br0" timeOffset="5058.5">6467 1073 14743 0 0,'-4'7'356'0'0,"0"-1"0"0"0,1 1-1 0 0,-1 0 1 0 0,1-1-1 0 0,1 1 1 0 0,-1 1 0 0 0,-1 11-1 0 0,1 2 1527 0 0,-1 29-1 0 0,3-24-1506 0 0,1 612 442 0 0,7-556-951 0 0,1 26 14 0 0,-8-92-67 0 0,-1 0-1 0 0,0 0 1 0 0,-1 0-1 0 0,-6 23 0 0 0,8-37 97 0 0,-3 7-1450 0 0,-1-3-3033 0 0</inkml:trace>
  <inkml:trace contextRef="#ctx0" brushRef="#br0" timeOffset="5575.55">6315 1612 20127 0 0,'0'8'1457'0'0,"0"-6"-1369"0"0,0 0 0 0 0,1 0 0 0 0,-1 0 0 0 0,0 0 0 0 0,1 0-1 0 0,-1 0 1 0 0,1 0 0 0 0,-1 0 0 0 0,1-1 0 0 0,0 1 0 0 0,0 0 0 0 0,0 0-1 0 0,0-1 1 0 0,0 1 0 0 0,0-1 0 0 0,3 3 0 0 0,0 2-85 0 0,0 0 0 0 0,1-1 0 0 0,0 1 0 0 0,0-1 0 0 0,8 6 0 0 0,-7-7-16 0 0,1 0-1 0 0,-1-1 0 0 0,1 0 0 0 0,-1-1 1 0 0,12 4-1 0 0,-18-6 14 0 0,1 0-12 0 0,0 1 1 0 0,1-1-1 0 0,-1 0 1 0 0,1 1 0 0 0,-1-1-1 0 0,0 0 1 0 0,1 0-1 0 0,-1 0 1 0 0,1 0-1 0 0,-1 0 1 0 0,3-1-1 0 0,7 1-39 0 0,-5 0 9 0 0,0-1-1 0 0,0 0 1 0 0,0 0-1 0 0,0 0 0 0 0,9-3 1 0 0,48-13-145 0 0,-1-2 40 0 0,-13 3 134 0 0,5-2-18 0 0,-2-1-298 0 0,-28 8-785 0 0,-17 9-3944 0 0</inkml:trace>
  <inkml:trace contextRef="#ctx0" brushRef="#br0" timeOffset="6041.04">6713 1929 18887 0 0,'-2'2'225'0'0,"1"1"1"0"0,-1 0-1 0 0,1 1 0 0 0,0-1 0 0 0,0 0 0 0 0,1 0 1 0 0,-1 0-1 0 0,1 1 0 0 0,-1-1 0 0 0,1 0 1 0 0,0 1-1 0 0,0 2 0 0 0,8 39 508 0 0,-7-41-643 0 0,0-1 159 0 0,5 3-42 0 0,20 19-178 0 0,-26-24-31 0 0,1-1 0 0 0,-1 1 0 0 0,0-1 0 0 0,1 0 0 0 0,-1 1 0 0 0,1-1 0 0 0,-1 0-1 0 0,0 1 1 0 0,1-1 0 0 0,-1 0 0 0 0,1 1 0 0 0,-1-1 0 0 0,1 0 0 0 0,-1 0 0 0 0,1 0 0 0 0,-1 1 0 0 0,1-1 0 0 0,-1 0 0 0 0,1 0-1 0 0,-1 0 1 0 0,1 0 0 0 0,0 0 0 0 0,-1 0 0 0 0,1 0 0 0 0,-1 0 0 0 0,1 0 0 0 0,-1 0 0 0 0,1 0 0 0 0,-1-1 0 0 0,1 1 0 0 0,0 0-1 0 0,36-7-103 0 0,-28 6-13 0 0,0-4 19 0 0,1 0 85 0 0,-6 2 3 0 0,1 1 0 0 0,-1-1-1 0 0,0 1 1 0 0,1-1 0 0 0,-1 0 0 0 0,6-7 0 0 0,17-15-100 0 0,-2 0 1 0 0,34-46-1 0 0,-44 51 65 0 0,-1-1 1 0 0,-1-1-1 0 0,-1 0 1 0 0,18-45-1 0 0,-28 61 25 0 0,0-1-1 0 0,0 1 1 0 0,-1-1-1 0 0,0 1 1 0 0,0-1-1 0 0,-1 0 1 0 0,0 0-1 0 0,0 0 1 0 0,0 1-1 0 0,-1-1 1 0 0,-2-10-1 0 0,2 14 13 0 0,0 1 0 0 0,1-1-1 0 0,-2 1 1 0 0,1-1 0 0 0,0 1-1 0 0,0 0 1 0 0,-1-1 0 0 0,1 1-1 0 0,-1 0 1 0 0,0 0-1 0 0,1 0 1 0 0,-1 0 0 0 0,0 0-1 0 0,0 1 1 0 0,-1-1 0 0 0,1 1-1 0 0,0-1 1 0 0,0 1 0 0 0,-1 0-1 0 0,1-1 1 0 0,-1 1-1 0 0,1 1 1 0 0,-1-1 0 0 0,1 0-1 0 0,-1 0 1 0 0,0 1 0 0 0,1 0-1 0 0,-1-1 1 0 0,0 1 0 0 0,1 0-1 0 0,-5 1 1 0 0,0 0-36 0 0,-1 1 1 0 0,1-1-1 0 0,-1 2 0 0 0,1-1 1 0 0,0 1-1 0 0,0 0 0 0 0,0 0 1 0 0,0 1-1 0 0,0 0 0 0 0,1 0 1 0 0,0 1-1 0 0,0 0 0 0 0,0 0 1 0 0,0 0-1 0 0,-8 11 1 0 0,1-1 100 0 0,2 1 0 0 0,-1 0 0 0 0,2 0 1 0 0,0 1-1 0 0,-8 21 0 0 0,12-23 51 0 0,1 0 0 0 0,0 0 0 0 0,1 1 0 0 0,1-1-1 0 0,1 1 1 0 0,0 0 0 0 0,1 0 0 0 0,1-1 0 0 0,0 1 0 0 0,1 0-1 0 0,1 0 1 0 0,6 26 0 0 0,-7-38-70 0 0,0 0 1 0 0,0 0-1 0 0,1 0 0 0 0,-1 0 1 0 0,1-1-1 0 0,4 7 0 0 0,-2-2 15 0 0,-2-5-24 0 0,-1 0 0 0 0,0 0-1 0 0,1 0 1 0 0,-1 0 0 0 0,1 0-1 0 0,0 0 1 0 0,0-1 0 0 0,0 1-1 0 0,5 4 1 0 0,-1-1 25 0 0,-1 0 108 0 0,5 2-5 0 0,28 25-23 0 0,-29-25-11 0 0,3-3-1 0 0,37 13-9 0 0,-24-11-49 0 0,38 0-63 0 0,-13-12-70 0 0,-32 0-57 0 0,22-14-1570 0 0,-8-2-6201 0 0</inkml:trace>
  <inkml:trace contextRef="#ctx0" brushRef="#br0" timeOffset="6042.04">7524 1742 16847 0 0,'-24'8'681'0'0,"1"1"0"0"0,-1 1 0 0 0,1 1 0 0 0,1 1 0 0 0,0 1 0 0 0,1 1 0 0 0,-25 21 0 0 0,31-22-817 0 0,0 1 0 0 0,1 1 0 0 0,1 0 0 0 0,0 0 0 0 0,-18 31 0 0 0,26-36 86 0 0,1-1 0 0 0,-1 1 0 0 0,2 1 0 0 0,0-1 0 0 0,0 0 0 0 0,0 1-1 0 0,2 0 1 0 0,-1-1 0 0 0,1 1 0 0 0,1 0 0 0 0,1 13 0 0 0,4 9 181 0 0,-1-25-120 0 0,-4-7 6 0 0,1 0 1 0 0,-1-1-1 0 0,1 1 1 0 0,-1-1-1 0 0,0 1 0 0 0,0 0 1 0 0,1-1-1 0 0,-1 1 1 0 0,0 0-1 0 0,0 0 1 0 0,0-1-1 0 0,0 1 1 0 0,0 0-1 0 0,0-1 0 0 0,0 1 1 0 0,0 0-1 0 0,0 0 1 0 0,0 1-1 0 0,6 4 109 0 0,17 21 22 0 0,-17-20 170 0 0,2-10-157 0 0,-2 0-117 0 0,0 0-1 0 0,0 0 0 0 0,0 0 0 0 0,-1 0 1 0 0,0-1-1 0 0,1 0 0 0 0,-1 0 0 0 0,0-1 0 0 0,-1 0 1 0 0,1 1-1 0 0,4-9 0 0 0,2-5 65 0 0,0 0-1 0 0,-2-2 1 0 0,-1 1 0 0 0,0-1-1 0 0,5-22 1 0 0,20-108 113 0 0,-27 115-208 0 0,64-425-108 0 0,10-47-938 0 0,-74 474 951 0 0,-4 16 87 0 0,2 0 1 0 0,0 0-1 0 0,1 0 0 0 0,9-21 0 0 0,-11 36 1018 0 0,0 8-507 0 0,0 13-262 0 0,-3-17-223 0 0,8 145 479 0 0,-4-50-300 0 0,21 150-250 0 0,91 387 0 0 0,-60-430-103 0 0,-33-137-26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BA322-26C9-477C-9FEC-E84C33D32C49}">
  <sheetPr codeName="Sheet1"/>
  <dimension ref="O2:AL43"/>
  <sheetViews>
    <sheetView tabSelected="1" topLeftCell="L1" workbookViewId="0">
      <selection activeCell="AA31" sqref="AA31"/>
    </sheetView>
  </sheetViews>
  <sheetFormatPr defaultRowHeight="14.5" x14ac:dyDescent="0.35"/>
  <cols>
    <col min="17" max="17" width="12.54296875" bestFit="1" customWidth="1"/>
    <col min="21" max="21" width="16.6328125" bestFit="1" customWidth="1"/>
    <col min="22" max="22" width="17.453125" bestFit="1" customWidth="1"/>
    <col min="23" max="23" width="13.26953125" customWidth="1"/>
    <col min="25" max="25" width="10.36328125" bestFit="1" customWidth="1"/>
    <col min="35" max="35" width="10.36328125" bestFit="1" customWidth="1"/>
    <col min="38" max="38" width="13.81640625" bestFit="1" customWidth="1"/>
  </cols>
  <sheetData>
    <row r="2" spans="15:38" x14ac:dyDescent="0.35">
      <c r="P2" t="s">
        <v>17</v>
      </c>
    </row>
    <row r="3" spans="15:38" x14ac:dyDescent="0.35">
      <c r="Q3">
        <v>8</v>
      </c>
      <c r="R3" t="s">
        <v>18</v>
      </c>
    </row>
    <row r="5" spans="15:38" x14ac:dyDescent="0.35">
      <c r="P5" t="s">
        <v>2</v>
      </c>
      <c r="Q5">
        <v>9.81</v>
      </c>
      <c r="V5" t="s">
        <v>6</v>
      </c>
      <c r="W5" t="s">
        <v>7</v>
      </c>
      <c r="AG5" s="3" t="s">
        <v>21</v>
      </c>
      <c r="AH5" s="3" t="s">
        <v>22</v>
      </c>
      <c r="AI5" s="3" t="s">
        <v>19</v>
      </c>
      <c r="AK5" s="3" t="s">
        <v>22</v>
      </c>
      <c r="AL5" s="3" t="s">
        <v>23</v>
      </c>
    </row>
    <row r="6" spans="15:38" x14ac:dyDescent="0.35">
      <c r="P6" t="s">
        <v>3</v>
      </c>
      <c r="Q6" s="1">
        <v>0.91</v>
      </c>
      <c r="U6" t="s">
        <v>4</v>
      </c>
      <c r="V6">
        <f>AB13</f>
        <v>345</v>
      </c>
      <c r="W6">
        <v>152.80433864590705</v>
      </c>
      <c r="AG6" s="3"/>
      <c r="AH6" s="3">
        <v>360</v>
      </c>
      <c r="AI6" s="3">
        <v>28601016.121667001</v>
      </c>
      <c r="AK6" s="3">
        <v>155</v>
      </c>
      <c r="AL6" s="3">
        <v>10000000</v>
      </c>
    </row>
    <row r="7" spans="15:38" x14ac:dyDescent="0.35">
      <c r="P7" t="s">
        <v>0</v>
      </c>
      <c r="Q7">
        <v>500</v>
      </c>
      <c r="R7" t="s">
        <v>1</v>
      </c>
      <c r="U7" t="s">
        <v>5</v>
      </c>
      <c r="V7">
        <v>322.19907714313524</v>
      </c>
      <c r="W7">
        <f>AB14</f>
        <v>110</v>
      </c>
      <c r="AA7" t="s">
        <v>27</v>
      </c>
      <c r="AG7" s="3"/>
      <c r="AH7" s="3">
        <v>355</v>
      </c>
      <c r="AI7" s="3">
        <v>26074652.870469999</v>
      </c>
      <c r="AK7" s="3">
        <v>150</v>
      </c>
      <c r="AL7" s="3">
        <v>7000000</v>
      </c>
    </row>
    <row r="8" spans="15:38" x14ac:dyDescent="0.35">
      <c r="AG8" s="3"/>
      <c r="AH8" s="3">
        <v>350</v>
      </c>
      <c r="AI8" s="3">
        <v>23688301.067607</v>
      </c>
      <c r="AK8" s="3">
        <v>145</v>
      </c>
      <c r="AL8" s="3">
        <v>4977061.9087239997</v>
      </c>
    </row>
    <row r="9" spans="15:38" x14ac:dyDescent="0.35">
      <c r="P9" t="s">
        <v>15</v>
      </c>
      <c r="Q9">
        <f>Q7*1000/(Q5*Q6*V19)</f>
        <v>291.58185770505685</v>
      </c>
      <c r="R9" t="s">
        <v>16</v>
      </c>
      <c r="AG9" s="3"/>
      <c r="AH9" s="3">
        <v>345</v>
      </c>
      <c r="AI9" s="3">
        <v>21440442.046898</v>
      </c>
      <c r="AK9" s="3">
        <v>140</v>
      </c>
      <c r="AL9" s="3">
        <v>4039600.8550669998</v>
      </c>
    </row>
    <row r="10" spans="15:38" x14ac:dyDescent="0.35">
      <c r="AG10" s="3"/>
      <c r="AH10" s="3">
        <v>340</v>
      </c>
      <c r="AI10" s="3">
        <v>19348609.045933001</v>
      </c>
      <c r="AK10" s="3">
        <v>135</v>
      </c>
      <c r="AL10" s="3">
        <v>3255642.2479810002</v>
      </c>
    </row>
    <row r="11" spans="15:38" x14ac:dyDescent="0.35">
      <c r="O11" t="s">
        <v>20</v>
      </c>
      <c r="P11" t="s">
        <v>19</v>
      </c>
      <c r="Q11" s="7">
        <f>Q9*Q3*3600</f>
        <v>8397557.5019056369</v>
      </c>
      <c r="R11" s="7" t="s">
        <v>26</v>
      </c>
      <c r="AG11" s="3"/>
      <c r="AH11" s="3">
        <v>335</v>
      </c>
      <c r="AI11" s="3">
        <v>17386185.260857001</v>
      </c>
      <c r="AK11" s="3">
        <v>130</v>
      </c>
      <c r="AL11" s="3">
        <v>2527796.3137449999</v>
      </c>
    </row>
    <row r="12" spans="15:38" x14ac:dyDescent="0.35">
      <c r="Q12" s="7"/>
      <c r="R12" s="7"/>
      <c r="U12" t="s">
        <v>8</v>
      </c>
      <c r="V12">
        <f>V6-W7</f>
        <v>235</v>
      </c>
      <c r="AA12" t="s">
        <v>28</v>
      </c>
      <c r="AG12" s="3"/>
      <c r="AH12" s="3">
        <v>330</v>
      </c>
      <c r="AI12" s="3">
        <v>15547204.083656</v>
      </c>
      <c r="AK12" s="3">
        <v>125</v>
      </c>
      <c r="AL12" s="3">
        <v>1879396.1658749999</v>
      </c>
    </row>
    <row r="13" spans="15:38" x14ac:dyDescent="0.35">
      <c r="Q13" s="7"/>
      <c r="R13" s="7"/>
      <c r="U13" t="s">
        <v>9</v>
      </c>
      <c r="V13">
        <f>V7-W6</f>
        <v>169.39473849722819</v>
      </c>
      <c r="AA13" t="s">
        <v>29</v>
      </c>
      <c r="AB13" s="8">
        <v>345</v>
      </c>
      <c r="AG13" s="3"/>
      <c r="AH13" s="3">
        <v>325</v>
      </c>
      <c r="AI13" s="3">
        <v>13905178.457514999</v>
      </c>
      <c r="AK13" s="3">
        <v>120</v>
      </c>
      <c r="AL13" s="3">
        <v>1282028.8739680001</v>
      </c>
    </row>
    <row r="14" spans="15:38" x14ac:dyDescent="0.35">
      <c r="U14" t="s">
        <v>11</v>
      </c>
      <c r="V14">
        <f>AVERAGE(V12:V13)</f>
        <v>202.19736924861411</v>
      </c>
      <c r="AA14" t="s">
        <v>30</v>
      </c>
      <c r="AB14" s="8">
        <v>110</v>
      </c>
      <c r="AG14" s="3"/>
      <c r="AH14" s="3">
        <v>320</v>
      </c>
      <c r="AI14" s="3">
        <v>12365875.241061</v>
      </c>
      <c r="AK14" s="3">
        <v>115</v>
      </c>
      <c r="AL14" s="3">
        <v>758076.63636200002</v>
      </c>
    </row>
    <row r="15" spans="15:38" x14ac:dyDescent="0.35">
      <c r="AG15" s="3"/>
      <c r="AH15" s="3">
        <v>315</v>
      </c>
      <c r="AI15" s="3">
        <v>10899667.500097999</v>
      </c>
      <c r="AK15" s="3">
        <v>110</v>
      </c>
      <c r="AL15" s="3">
        <v>281725.765564</v>
      </c>
    </row>
    <row r="16" spans="15:38" x14ac:dyDescent="0.35">
      <c r="U16" t="s">
        <v>10</v>
      </c>
      <c r="V16">
        <f>V14</f>
        <v>202.19736924861411</v>
      </c>
      <c r="AG16" s="3"/>
      <c r="AH16" s="3">
        <v>310</v>
      </c>
      <c r="AI16" s="3">
        <v>9502636.3434720002</v>
      </c>
      <c r="AK16" s="3">
        <v>105</v>
      </c>
      <c r="AL16" s="3">
        <v>129246.021802</v>
      </c>
    </row>
    <row r="17" spans="21:38" x14ac:dyDescent="0.35">
      <c r="U17" t="s">
        <v>12</v>
      </c>
      <c r="V17" s="2">
        <v>0.05</v>
      </c>
      <c r="W17" t="s">
        <v>13</v>
      </c>
      <c r="AG17" s="3"/>
      <c r="AH17" s="3">
        <v>305</v>
      </c>
      <c r="AI17" s="3">
        <v>8259678.814708</v>
      </c>
      <c r="AK17" s="3">
        <v>100</v>
      </c>
      <c r="AL17" s="3">
        <v>0</v>
      </c>
    </row>
    <row r="18" spans="21:38" x14ac:dyDescent="0.35">
      <c r="V18">
        <f>V16*V17</f>
        <v>10.109868462430706</v>
      </c>
      <c r="AG18" s="3"/>
      <c r="AH18" s="3">
        <v>300</v>
      </c>
      <c r="AI18" s="3">
        <v>7086569.7977259997</v>
      </c>
    </row>
    <row r="19" spans="21:38" x14ac:dyDescent="0.35">
      <c r="U19" t="s">
        <v>14</v>
      </c>
      <c r="V19">
        <f>V16-V18</f>
        <v>192.0875007861834</v>
      </c>
      <c r="AG19" s="3"/>
      <c r="AH19" s="3">
        <v>295</v>
      </c>
      <c r="AI19" s="3">
        <v>5958291.3034819998</v>
      </c>
    </row>
    <row r="20" spans="21:38" x14ac:dyDescent="0.35">
      <c r="AG20" s="3"/>
      <c r="AH20" s="3">
        <v>290</v>
      </c>
      <c r="AI20" s="3">
        <v>4963086.097325</v>
      </c>
    </row>
    <row r="21" spans="21:38" x14ac:dyDescent="0.35">
      <c r="AG21" s="3"/>
      <c r="AH21" s="3">
        <v>285</v>
      </c>
      <c r="AI21" s="3">
        <v>4079506.285557</v>
      </c>
    </row>
    <row r="22" spans="21:38" x14ac:dyDescent="0.35">
      <c r="U22" t="s">
        <v>24</v>
      </c>
      <c r="V22" s="7" cm="1">
        <f t="array" ref="V22">JKJInterpolate(V6,$AH$6:$AH$33,$AI$6:$AI$33,-1)</f>
        <v>21440442.046898</v>
      </c>
      <c r="W22" s="7" cm="1">
        <f t="array" ref="W22">JKJInterpolate(W6,$AK$6:$AK$17,$AL$6:$AL$17,-1)</f>
        <v>8682603.1875442304</v>
      </c>
      <c r="AG22" s="3"/>
      <c r="AH22" s="3">
        <v>280</v>
      </c>
      <c r="AI22" s="3">
        <v>3277252.9579699999</v>
      </c>
    </row>
    <row r="23" spans="21:38" x14ac:dyDescent="0.35">
      <c r="U23" t="s">
        <v>25</v>
      </c>
      <c r="V23" s="7" cm="1">
        <f t="array" ref="V23">JKJInterpolate(V7,$AH$6:$AH$33,$AI$6:$AI$33,-1)</f>
        <v>13042884.54499271</v>
      </c>
      <c r="W23" s="7" cm="1">
        <f t="array" ref="W23">JKJInterpolate(W7,$AK$6:$AK$17,$AL$6:$AL$17,-1)</f>
        <v>281725.765564</v>
      </c>
      <c r="AG23" s="3"/>
      <c r="AH23" s="3">
        <v>275</v>
      </c>
      <c r="AI23" s="3">
        <v>2626475.4087899998</v>
      </c>
    </row>
    <row r="24" spans="21:38" x14ac:dyDescent="0.35">
      <c r="U24" t="s">
        <v>20</v>
      </c>
      <c r="V24" s="7">
        <f>V22-V23</f>
        <v>8397557.5019052904</v>
      </c>
      <c r="W24" s="7">
        <f>W22-W23</f>
        <v>8400877.4219802301</v>
      </c>
      <c r="AG24" s="3"/>
      <c r="AH24" s="3">
        <v>270</v>
      </c>
      <c r="AI24" s="3">
        <v>2046862.370603</v>
      </c>
    </row>
    <row r="25" spans="21:38" x14ac:dyDescent="0.35">
      <c r="V25" s="9">
        <f>V24-Q11</f>
        <v>-3.4645199775695801E-7</v>
      </c>
      <c r="W25" s="9">
        <f>W24-Q11</f>
        <v>3319.9200745932758</v>
      </c>
      <c r="AG25" s="3"/>
      <c r="AH25" s="3">
        <v>265</v>
      </c>
      <c r="AI25" s="4">
        <v>1575161.686554</v>
      </c>
    </row>
    <row r="26" spans="21:38" x14ac:dyDescent="0.35">
      <c r="AG26" s="3"/>
      <c r="AH26" s="3">
        <v>260</v>
      </c>
      <c r="AI26" s="4">
        <v>1173750.9923099999</v>
      </c>
    </row>
    <row r="27" spans="21:38" x14ac:dyDescent="0.35">
      <c r="AG27" s="3"/>
      <c r="AH27" s="3">
        <v>255</v>
      </c>
      <c r="AI27" s="4">
        <v>817220.22247299994</v>
      </c>
    </row>
    <row r="28" spans="21:38" x14ac:dyDescent="0.35">
      <c r="AG28" s="3"/>
      <c r="AH28" s="3">
        <v>250</v>
      </c>
      <c r="AI28" s="4">
        <v>565285.14025900001</v>
      </c>
    </row>
    <row r="29" spans="21:38" x14ac:dyDescent="0.35">
      <c r="V29" t="s">
        <v>6</v>
      </c>
      <c r="W29" t="s">
        <v>7</v>
      </c>
      <c r="AG29" s="5"/>
      <c r="AH29" s="5">
        <v>245</v>
      </c>
      <c r="AI29" s="6">
        <v>366519.23309300002</v>
      </c>
    </row>
    <row r="30" spans="21:38" x14ac:dyDescent="0.35">
      <c r="U30" t="s">
        <v>4</v>
      </c>
      <c r="V30">
        <v>345</v>
      </c>
      <c r="W30">
        <v>152.80433864590705</v>
      </c>
      <c r="AG30" s="3"/>
      <c r="AH30" s="3">
        <v>240</v>
      </c>
      <c r="AI30" s="4">
        <v>198353.53855900001</v>
      </c>
    </row>
    <row r="31" spans="21:38" x14ac:dyDescent="0.35">
      <c r="U31" t="s">
        <v>5</v>
      </c>
      <c r="V31">
        <v>326.83923741238874</v>
      </c>
      <c r="W31">
        <v>110</v>
      </c>
      <c r="AG31" s="3"/>
      <c r="AH31" s="3">
        <v>235</v>
      </c>
      <c r="AI31" s="4">
        <v>91399.976668999996</v>
      </c>
    </row>
    <row r="32" spans="21:38" x14ac:dyDescent="0.35">
      <c r="U32" t="s">
        <v>24</v>
      </c>
      <c r="V32" s="7" cm="1">
        <f t="array" ref="V32">JKJInterpolate(V30,$AH$6:$AH$33,$AI$6:$AI$33,-1)</f>
        <v>21440442.046898</v>
      </c>
      <c r="W32" s="7" cm="1">
        <f t="array" ref="W32">JKJInterpolate(W30,$AK$6:$AK$17,$AL$6:$AL$17,-1)</f>
        <v>8682603.1875442304</v>
      </c>
      <c r="AG32" s="3"/>
      <c r="AH32" s="3">
        <v>230</v>
      </c>
      <c r="AI32" s="4">
        <v>6515.6257480000004</v>
      </c>
    </row>
    <row r="33" spans="21:35" x14ac:dyDescent="0.35">
      <c r="U33" t="s">
        <v>25</v>
      </c>
      <c r="V33" s="7" cm="1">
        <f t="array" ref="V33">JKJInterpolate(V31,$AH$6:$AH$33,$AI$6:$AI$33,-1)</f>
        <v>14509193.450254915</v>
      </c>
      <c r="W33" s="7" cm="1">
        <f t="array" ref="W33">JKJInterpolate(W31,$AK$6:$AK$17,$AL$6:$AL$17,-1)</f>
        <v>281725.765564</v>
      </c>
      <c r="AG33" s="3"/>
      <c r="AH33" s="3">
        <v>225</v>
      </c>
      <c r="AI33" s="4">
        <v>0</v>
      </c>
    </row>
    <row r="34" spans="21:35" x14ac:dyDescent="0.35">
      <c r="U34" t="s">
        <v>20</v>
      </c>
      <c r="V34" s="7">
        <f>V32-V33</f>
        <v>6931248.5966430847</v>
      </c>
      <c r="W34" s="7">
        <f>W32-W33</f>
        <v>8400877.4219802301</v>
      </c>
    </row>
    <row r="35" spans="21:35" x14ac:dyDescent="0.35">
      <c r="V35" s="9">
        <f>V34-Q21</f>
        <v>6931248.5966430847</v>
      </c>
      <c r="W35" s="9">
        <f>W34-Q21</f>
        <v>8400877.4219802301</v>
      </c>
    </row>
    <row r="36" spans="21:35" x14ac:dyDescent="0.35">
      <c r="U36" t="s">
        <v>8</v>
      </c>
      <c r="V36">
        <f>V30-W31</f>
        <v>235</v>
      </c>
    </row>
    <row r="37" spans="21:35" x14ac:dyDescent="0.35">
      <c r="U37" t="s">
        <v>9</v>
      </c>
      <c r="V37">
        <f>V31-W30</f>
        <v>174.03489876648169</v>
      </c>
      <c r="Y37" t="s">
        <v>31</v>
      </c>
      <c r="Z37">
        <f>V36/V37</f>
        <v>1.350303885402437</v>
      </c>
      <c r="AA37">
        <v>1.35</v>
      </c>
      <c r="AB37" t="str">
        <f>IF(Z37&lt;AA37,"OK","not OK")</f>
        <v>not OK</v>
      </c>
    </row>
    <row r="38" spans="21:35" x14ac:dyDescent="0.35">
      <c r="U38" t="s">
        <v>11</v>
      </c>
      <c r="V38">
        <f>AVERAGE(V36:V37)</f>
        <v>204.51744938324083</v>
      </c>
    </row>
    <row r="40" spans="21:35" x14ac:dyDescent="0.35">
      <c r="U40" t="s">
        <v>10</v>
      </c>
      <c r="V40">
        <f>V38</f>
        <v>204.51744938324083</v>
      </c>
    </row>
    <row r="41" spans="21:35" x14ac:dyDescent="0.35">
      <c r="U41" t="s">
        <v>12</v>
      </c>
      <c r="V41" s="2">
        <v>0.05</v>
      </c>
      <c r="W41" t="s">
        <v>13</v>
      </c>
    </row>
    <row r="42" spans="21:35" x14ac:dyDescent="0.35">
      <c r="V42">
        <f>V40*V41</f>
        <v>10.225872469162042</v>
      </c>
    </row>
    <row r="43" spans="21:35" x14ac:dyDescent="0.35">
      <c r="U43" t="s">
        <v>14</v>
      </c>
      <c r="V43">
        <f>V40-V42</f>
        <v>194.2915769140788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33E6CA7CD52948ACCA2BBF525D2442" ma:contentTypeVersion="12" ma:contentTypeDescription="Create a new document." ma:contentTypeScope="" ma:versionID="0a40e7efa2fb88ce7d24a2897bf2c8dc">
  <xsd:schema xmlns:xsd="http://www.w3.org/2001/XMLSchema" xmlns:xs="http://www.w3.org/2001/XMLSchema" xmlns:p="http://schemas.microsoft.com/office/2006/metadata/properties" xmlns:ns2="86401e03-33b2-46a4-8eab-3627ec1a6ce1" xmlns:ns3="1899bab1-6836-483b-a853-1d5b21d0acf5" targetNamespace="http://schemas.microsoft.com/office/2006/metadata/properties" ma:root="true" ma:fieldsID="bc9f364aa5da6e5448ae027f9330c58d" ns2:_="" ns3:_="">
    <xsd:import namespace="86401e03-33b2-46a4-8eab-3627ec1a6ce1"/>
    <xsd:import namespace="1899bab1-6836-483b-a853-1d5b21d0ac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401e03-33b2-46a4-8eab-3627ec1a6c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e519f406-8a89-4272-98b5-53eb877072d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99bab1-6836-483b-a853-1d5b21d0acf5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bde21c0c-6f5b-4271-b3c2-99ae184d4e40}" ma:internalName="TaxCatchAll" ma:showField="CatchAllData" ma:web="1899bab1-6836-483b-a853-1d5b21d0acf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401e03-33b2-46a4-8eab-3627ec1a6ce1">
      <Terms xmlns="http://schemas.microsoft.com/office/infopath/2007/PartnerControls"/>
    </lcf76f155ced4ddcb4097134ff3c332f>
    <TaxCatchAll xmlns="1899bab1-6836-483b-a853-1d5b21d0acf5" xsi:nil="true"/>
  </documentManagement>
</p:properties>
</file>

<file path=customXml/itemProps1.xml><?xml version="1.0" encoding="utf-8"?>
<ds:datastoreItem xmlns:ds="http://schemas.openxmlformats.org/officeDocument/2006/customXml" ds:itemID="{EA9B87A9-8291-4904-8290-0672ED449487}"/>
</file>

<file path=customXml/itemProps2.xml><?xml version="1.0" encoding="utf-8"?>
<ds:datastoreItem xmlns:ds="http://schemas.openxmlformats.org/officeDocument/2006/customXml" ds:itemID="{1AEEB000-8BE7-4B89-81E5-56F3DC78E386}"/>
</file>

<file path=customXml/itemProps3.xml><?xml version="1.0" encoding="utf-8"?>
<ds:datastoreItem xmlns:ds="http://schemas.openxmlformats.org/officeDocument/2006/customXml" ds:itemID="{3ADDA47B-22FA-4C3D-822A-8E2515609F3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Kent-Johnston</dc:creator>
  <cp:lastModifiedBy>Jeremy Kent-Johnston</cp:lastModifiedBy>
  <dcterms:created xsi:type="dcterms:W3CDTF">2023-10-24T02:42:09Z</dcterms:created>
  <dcterms:modified xsi:type="dcterms:W3CDTF">2023-10-24T03:02:59Z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0x010100DD33E6CA7CD52948ACCA2BBF525D2442</vt:lpwstr>
  </property>
</Properties>
</file>